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thany.souza\Downloads\"/>
    </mc:Choice>
  </mc:AlternateContent>
  <xr:revisionPtr revIDLastSave="0" documentId="13_ncr:1_{3EF4EF20-0B36-4881-B50F-2EA7156A5653}" xr6:coauthVersionLast="47" xr6:coauthVersionMax="47" xr10:uidLastSave="{00000000-0000-0000-0000-000000000000}"/>
  <bookViews>
    <workbookView xWindow="-120" yWindow="-120" windowWidth="20730" windowHeight="11040" activeTab="2" xr2:uid="{46B7E101-137A-41C4-A5D2-DDAC9C0C6A3A}"/>
  </bookViews>
  <sheets>
    <sheet name="Fechamento" sheetId="1" r:id="rId1"/>
    <sheet name="Análise" sheetId="3" r:id="rId2"/>
    <sheet name="Planilha2" sheetId="2" r:id="rId3"/>
  </sheets>
  <definedNames>
    <definedName name="_xlnm._FilterDatabase" localSheetId="0" hidden="1">Fechamento!$A$2:$M$536</definedName>
    <definedName name="_xlnm._FilterDatabase" localSheetId="2" hidden="1">Planilha2!$A$2:$N$536</definedName>
    <definedName name="SegmentaçãodeDados_PLANO">#N/A</definedName>
  </definedNames>
  <calcPr calcId="191029"/>
  <pivotCaches>
    <pivotCache cacheId="6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B462" i="2" s="1"/>
  <c r="E462" i="2" s="1"/>
  <c r="L462" i="2" s="1"/>
  <c r="M462" i="2" s="1"/>
  <c r="K1" i="2"/>
  <c r="N536" i="2"/>
  <c r="N533" i="2"/>
  <c r="N531" i="2"/>
  <c r="N529" i="2"/>
  <c r="N528" i="2"/>
  <c r="N527" i="2"/>
  <c r="N526" i="2"/>
  <c r="N524" i="2"/>
  <c r="N523" i="2"/>
  <c r="N522" i="2"/>
  <c r="N521" i="2"/>
  <c r="N517" i="2"/>
  <c r="N516" i="2"/>
  <c r="N514" i="2"/>
  <c r="N513" i="2"/>
  <c r="N511" i="2"/>
  <c r="N508" i="2"/>
  <c r="N505" i="2"/>
  <c r="N504" i="2"/>
  <c r="N503" i="2"/>
  <c r="N502" i="2"/>
  <c r="N501" i="2"/>
  <c r="N500" i="2"/>
  <c r="N499" i="2"/>
  <c r="N498" i="2"/>
  <c r="N497" i="2"/>
  <c r="N493" i="2"/>
  <c r="N492" i="2"/>
  <c r="N491" i="2"/>
  <c r="N490" i="2"/>
  <c r="N488" i="2"/>
  <c r="N486" i="2"/>
  <c r="N485" i="2"/>
  <c r="N484" i="2"/>
  <c r="N483" i="2"/>
  <c r="N482" i="2"/>
  <c r="N481" i="2"/>
  <c r="N479" i="2"/>
  <c r="N478" i="2"/>
  <c r="N477" i="2"/>
  <c r="N476" i="2"/>
  <c r="N474" i="2"/>
  <c r="N463" i="2"/>
  <c r="N456" i="2"/>
  <c r="N454" i="2"/>
  <c r="N453" i="2"/>
  <c r="N452" i="2"/>
  <c r="N445" i="2"/>
  <c r="N444" i="2"/>
  <c r="N443" i="2"/>
  <c r="N442" i="2"/>
  <c r="N440" i="2"/>
  <c r="N436" i="2"/>
  <c r="N435" i="2"/>
  <c r="N434" i="2"/>
  <c r="N433" i="2"/>
  <c r="N432" i="2"/>
  <c r="N431" i="2"/>
  <c r="N430" i="2"/>
  <c r="N429" i="2"/>
  <c r="N426" i="2"/>
  <c r="N423" i="2"/>
  <c r="N415" i="2"/>
  <c r="N414" i="2"/>
  <c r="N413" i="2"/>
  <c r="N412" i="2"/>
  <c r="N411" i="2"/>
  <c r="N409" i="2"/>
  <c r="N408" i="2"/>
  <c r="N406" i="2"/>
  <c r="N404" i="2"/>
  <c r="N403" i="2"/>
  <c r="N401" i="2"/>
  <c r="N400" i="2"/>
  <c r="N397" i="2"/>
  <c r="N390" i="2"/>
  <c r="N389" i="2"/>
  <c r="N388" i="2"/>
  <c r="N387" i="2"/>
  <c r="N385" i="2"/>
  <c r="N383" i="2"/>
  <c r="N382" i="2"/>
  <c r="N380" i="2"/>
  <c r="N378" i="2"/>
  <c r="N377" i="2"/>
  <c r="N374" i="2"/>
  <c r="N372" i="2"/>
  <c r="N363" i="2"/>
  <c r="N360" i="2"/>
  <c r="N359" i="2"/>
  <c r="N358" i="2"/>
  <c r="N357" i="2"/>
  <c r="N356" i="2"/>
  <c r="N354" i="2"/>
  <c r="N353" i="2"/>
  <c r="N352" i="2"/>
  <c r="N350" i="2"/>
  <c r="N348" i="2"/>
  <c r="N342" i="2"/>
  <c r="N340" i="2"/>
  <c r="N331" i="2"/>
  <c r="N328" i="2"/>
  <c r="N327" i="2"/>
  <c r="N321" i="2"/>
  <c r="N317" i="2"/>
  <c r="N314" i="2"/>
  <c r="N312" i="2"/>
  <c r="N310" i="2"/>
  <c r="N309" i="2"/>
  <c r="N307" i="2"/>
  <c r="N306" i="2"/>
  <c r="N305" i="2"/>
  <c r="N304" i="2"/>
  <c r="N302" i="2"/>
  <c r="N300" i="2"/>
  <c r="N296" i="2"/>
  <c r="N294" i="2"/>
  <c r="N291" i="2"/>
  <c r="N288" i="2"/>
  <c r="N283" i="2"/>
  <c r="N275" i="2"/>
  <c r="N269" i="2"/>
  <c r="N266" i="2"/>
  <c r="N260" i="2"/>
  <c r="N259" i="2"/>
  <c r="N255" i="2"/>
  <c r="N254" i="2"/>
  <c r="N252" i="2"/>
  <c r="N251" i="2"/>
  <c r="N250" i="2"/>
  <c r="N249" i="2"/>
  <c r="N248" i="2"/>
  <c r="N242" i="2"/>
  <c r="N240" i="2"/>
  <c r="N236" i="2"/>
  <c r="N235" i="2"/>
  <c r="N230" i="2"/>
  <c r="N229" i="2"/>
  <c r="N228" i="2"/>
  <c r="N227" i="2"/>
  <c r="N226" i="2"/>
  <c r="N224" i="2"/>
  <c r="N223" i="2"/>
  <c r="N215" i="2"/>
  <c r="N212" i="2"/>
  <c r="N211" i="2"/>
  <c r="N198" i="2"/>
  <c r="N196" i="2"/>
  <c r="N194" i="2"/>
  <c r="N193" i="2"/>
  <c r="N190" i="2"/>
  <c r="N189" i="2"/>
  <c r="N188" i="2"/>
  <c r="N187" i="2"/>
  <c r="N186" i="2"/>
  <c r="N185" i="2"/>
  <c r="N183" i="2"/>
  <c r="N182" i="2"/>
  <c r="N181" i="2"/>
  <c r="N179" i="2"/>
  <c r="N176" i="2"/>
  <c r="N174" i="2"/>
  <c r="N173" i="2"/>
  <c r="N172" i="2"/>
  <c r="N163" i="2"/>
  <c r="N161" i="2"/>
  <c r="N160" i="2"/>
  <c r="N159" i="2"/>
  <c r="N157" i="2"/>
  <c r="N155" i="2"/>
  <c r="N154" i="2"/>
  <c r="N153" i="2"/>
  <c r="N151" i="2"/>
  <c r="N150" i="2"/>
  <c r="N148" i="2"/>
  <c r="N147" i="2"/>
  <c r="N146" i="2"/>
  <c r="N143" i="2"/>
  <c r="N140" i="2"/>
  <c r="N138" i="2"/>
  <c r="N137" i="2"/>
  <c r="N134" i="2"/>
  <c r="N132" i="2"/>
  <c r="N131" i="2"/>
  <c r="N128" i="2"/>
  <c r="N126" i="2"/>
  <c r="N125" i="2"/>
  <c r="N122" i="2"/>
  <c r="N120" i="2"/>
  <c r="N119" i="2"/>
  <c r="N115" i="2"/>
  <c r="N113" i="2"/>
  <c r="N112" i="2"/>
  <c r="N111" i="2"/>
  <c r="N110" i="2"/>
  <c r="N109" i="2"/>
  <c r="N107" i="2"/>
  <c r="N106" i="2"/>
  <c r="N105" i="2"/>
  <c r="N103" i="2"/>
  <c r="N102" i="2"/>
  <c r="N100" i="2"/>
  <c r="N99" i="2"/>
  <c r="N98" i="2"/>
  <c r="N97" i="2"/>
  <c r="N95" i="2"/>
  <c r="N87" i="2"/>
  <c r="N82" i="2"/>
  <c r="N80" i="2"/>
  <c r="N76" i="2"/>
  <c r="N75" i="2"/>
  <c r="N74" i="2"/>
  <c r="N71" i="2"/>
  <c r="N62" i="2"/>
  <c r="N61" i="2"/>
  <c r="N59" i="2"/>
  <c r="N57" i="2"/>
  <c r="N53" i="2"/>
  <c r="N52" i="2"/>
  <c r="N51" i="2"/>
  <c r="N50" i="2"/>
  <c r="N48" i="2"/>
  <c r="N47" i="2"/>
  <c r="N45" i="2"/>
  <c r="N44" i="2"/>
  <c r="N42" i="2"/>
  <c r="N40" i="2"/>
  <c r="N39" i="2"/>
  <c r="N36" i="2"/>
  <c r="N35" i="2"/>
  <c r="N34" i="2"/>
  <c r="N32" i="2"/>
  <c r="N31" i="2"/>
  <c r="N29" i="2"/>
  <c r="N28" i="2"/>
  <c r="N27" i="2"/>
  <c r="N24" i="2"/>
  <c r="N23" i="2"/>
  <c r="N22" i="2"/>
  <c r="N21" i="2"/>
  <c r="N20" i="2"/>
  <c r="N19" i="2"/>
  <c r="N18" i="2"/>
  <c r="N16" i="2"/>
  <c r="N13" i="2"/>
  <c r="N12" i="2"/>
  <c r="N11" i="2"/>
  <c r="N10" i="2"/>
  <c r="N9" i="2"/>
  <c r="N7" i="2"/>
  <c r="N5" i="2"/>
  <c r="N3" i="2"/>
  <c r="N1" i="2" l="1"/>
  <c r="B11" i="2"/>
  <c r="B31" i="2"/>
  <c r="B50" i="2"/>
  <c r="B72" i="2"/>
  <c r="E72" i="2" s="1"/>
  <c r="L72" i="2" s="1"/>
  <c r="M72" i="2" s="1"/>
  <c r="B82" i="2"/>
  <c r="B118" i="2"/>
  <c r="E118" i="2" s="1"/>
  <c r="L118" i="2" s="1"/>
  <c r="M118" i="2" s="1"/>
  <c r="B130" i="2"/>
  <c r="E130" i="2" s="1"/>
  <c r="L130" i="2" s="1"/>
  <c r="M130" i="2" s="1"/>
  <c r="B148" i="2"/>
  <c r="B194" i="2"/>
  <c r="B292" i="2"/>
  <c r="E292" i="2" s="1"/>
  <c r="L292" i="2" s="1"/>
  <c r="M292" i="2" s="1"/>
  <c r="B9" i="2"/>
  <c r="B34" i="2"/>
  <c r="B57" i="2"/>
  <c r="B62" i="2"/>
  <c r="B90" i="2"/>
  <c r="E90" i="2" s="1"/>
  <c r="L90" i="2" s="1"/>
  <c r="M90" i="2" s="1"/>
  <c r="B94" i="2"/>
  <c r="E94" i="2" s="1"/>
  <c r="L94" i="2" s="1"/>
  <c r="M94" i="2" s="1"/>
  <c r="B98" i="2"/>
  <c r="B106" i="2"/>
  <c r="B109" i="2"/>
  <c r="B119" i="2"/>
  <c r="B122" i="2"/>
  <c r="B131" i="2"/>
  <c r="B134" i="2"/>
  <c r="B139" i="2"/>
  <c r="E139" i="2" s="1"/>
  <c r="L139" i="2" s="1"/>
  <c r="M139" i="2" s="1"/>
  <c r="B144" i="2"/>
  <c r="E144" i="2" s="1"/>
  <c r="L144" i="2" s="1"/>
  <c r="M144" i="2" s="1"/>
  <c r="B146" i="2"/>
  <c r="B163" i="2"/>
  <c r="B174" i="2"/>
  <c r="B190" i="2"/>
  <c r="B218" i="2"/>
  <c r="E218" i="2" s="1"/>
  <c r="L218" i="2" s="1"/>
  <c r="M218" i="2" s="1"/>
  <c r="B232" i="2"/>
  <c r="E232" i="2" s="1"/>
  <c r="L232" i="2" s="1"/>
  <c r="M232" i="2" s="1"/>
  <c r="B317" i="2"/>
  <c r="B341" i="2"/>
  <c r="E341" i="2" s="1"/>
  <c r="L341" i="2" s="1"/>
  <c r="M341" i="2" s="1"/>
  <c r="B374" i="2"/>
  <c r="B18" i="2"/>
  <c r="B28" i="2"/>
  <c r="B36" i="2"/>
  <c r="B56" i="2"/>
  <c r="E56" i="2" s="1"/>
  <c r="L56" i="2" s="1"/>
  <c r="M56" i="2" s="1"/>
  <c r="B89" i="2"/>
  <c r="E89" i="2" s="1"/>
  <c r="L89" i="2" s="1"/>
  <c r="M89" i="2" s="1"/>
  <c r="B111" i="2"/>
  <c r="B121" i="2"/>
  <c r="E121" i="2" s="1"/>
  <c r="L121" i="2" s="1"/>
  <c r="M121" i="2" s="1"/>
  <c r="B133" i="2"/>
  <c r="E133" i="2" s="1"/>
  <c r="L133" i="2" s="1"/>
  <c r="M133" i="2" s="1"/>
  <c r="B162" i="2"/>
  <c r="E162" i="2" s="1"/>
  <c r="L162" i="2" s="1"/>
  <c r="M162" i="2" s="1"/>
  <c r="B180" i="2"/>
  <c r="E180" i="2" s="1"/>
  <c r="L180" i="2" s="1"/>
  <c r="M180" i="2" s="1"/>
  <c r="B254" i="2"/>
  <c r="B5" i="2"/>
  <c r="B24" i="2"/>
  <c r="B17" i="2"/>
  <c r="E17" i="2" s="1"/>
  <c r="L17" i="2" s="1"/>
  <c r="M17" i="2" s="1"/>
  <c r="B22" i="2"/>
  <c r="B43" i="2"/>
  <c r="E43" i="2" s="1"/>
  <c r="L43" i="2" s="1"/>
  <c r="M43" i="2" s="1"/>
  <c r="B46" i="2"/>
  <c r="E46" i="2" s="1"/>
  <c r="L46" i="2" s="1"/>
  <c r="M46" i="2" s="1"/>
  <c r="B54" i="2"/>
  <c r="E54" i="2" s="1"/>
  <c r="L54" i="2" s="1"/>
  <c r="M54" i="2" s="1"/>
  <c r="B73" i="2"/>
  <c r="E73" i="2" s="1"/>
  <c r="L73" i="2" s="1"/>
  <c r="M73" i="2" s="1"/>
  <c r="B81" i="2"/>
  <c r="E81" i="2" s="1"/>
  <c r="L81" i="2" s="1"/>
  <c r="M81" i="2" s="1"/>
  <c r="B91" i="2"/>
  <c r="E91" i="2" s="1"/>
  <c r="L91" i="2" s="1"/>
  <c r="M91" i="2" s="1"/>
  <c r="B95" i="2"/>
  <c r="B103" i="2"/>
  <c r="B116" i="2"/>
  <c r="E116" i="2" s="1"/>
  <c r="L116" i="2" s="1"/>
  <c r="M116" i="2" s="1"/>
  <c r="B140" i="2"/>
  <c r="B178" i="2"/>
  <c r="E178" i="2" s="1"/>
  <c r="L178" i="2" s="1"/>
  <c r="M178" i="2" s="1"/>
  <c r="B220" i="2"/>
  <c r="E220" i="2" s="1"/>
  <c r="L220" i="2" s="1"/>
  <c r="M220" i="2" s="1"/>
  <c r="B229" i="2"/>
  <c r="B330" i="2"/>
  <c r="E330" i="2" s="1"/>
  <c r="L330" i="2" s="1"/>
  <c r="M330" i="2" s="1"/>
  <c r="B351" i="2"/>
  <c r="E351" i="2" s="1"/>
  <c r="L351" i="2" s="1"/>
  <c r="M351" i="2" s="1"/>
  <c r="B8" i="2"/>
  <c r="E8" i="2" s="1"/>
  <c r="L8" i="2" s="1"/>
  <c r="M8" i="2" s="1"/>
  <c r="B47" i="2"/>
  <c r="B74" i="2"/>
  <c r="B93" i="2"/>
  <c r="E93" i="2" s="1"/>
  <c r="L93" i="2" s="1"/>
  <c r="M93" i="2" s="1"/>
  <c r="B108" i="2"/>
  <c r="E108" i="2" s="1"/>
  <c r="L108" i="2" s="1"/>
  <c r="M108" i="2" s="1"/>
  <c r="B126" i="2"/>
  <c r="B177" i="2"/>
  <c r="E177" i="2" s="1"/>
  <c r="L177" i="2" s="1"/>
  <c r="M177" i="2" s="1"/>
  <c r="B216" i="2"/>
  <c r="E216" i="2" s="1"/>
  <c r="L216" i="2" s="1"/>
  <c r="M216" i="2" s="1"/>
  <c r="B237" i="2"/>
  <c r="E237" i="2" s="1"/>
  <c r="L237" i="2" s="1"/>
  <c r="M237" i="2" s="1"/>
  <c r="B4" i="2"/>
  <c r="E4" i="2" s="1"/>
  <c r="L4" i="2" s="1"/>
  <c r="M4" i="2" s="1"/>
  <c r="B13" i="2"/>
  <c r="B20" i="2"/>
  <c r="B30" i="2"/>
  <c r="E30" i="2" s="1"/>
  <c r="L30" i="2" s="1"/>
  <c r="M30" i="2" s="1"/>
  <c r="B33" i="2"/>
  <c r="E33" i="2" s="1"/>
  <c r="L33" i="2" s="1"/>
  <c r="M33" i="2" s="1"/>
  <c r="B40" i="2"/>
  <c r="B44" i="2"/>
  <c r="B49" i="2"/>
  <c r="E49" i="2" s="1"/>
  <c r="L49" i="2" s="1"/>
  <c r="M49" i="2" s="1"/>
  <c r="B52" i="2"/>
  <c r="B55" i="2"/>
  <c r="E55" i="2" s="1"/>
  <c r="L55" i="2" s="1"/>
  <c r="M55" i="2" s="1"/>
  <c r="B76" i="2"/>
  <c r="B88" i="2"/>
  <c r="E88" i="2" s="1"/>
  <c r="L88" i="2" s="1"/>
  <c r="M88" i="2" s="1"/>
  <c r="B92" i="2"/>
  <c r="E92" i="2" s="1"/>
  <c r="L92" i="2" s="1"/>
  <c r="M92" i="2" s="1"/>
  <c r="B113" i="2"/>
  <c r="B117" i="2"/>
  <c r="E117" i="2" s="1"/>
  <c r="L117" i="2" s="1"/>
  <c r="M117" i="2" s="1"/>
  <c r="B129" i="2"/>
  <c r="E129" i="2" s="1"/>
  <c r="L129" i="2" s="1"/>
  <c r="M129" i="2" s="1"/>
  <c r="B145" i="2"/>
  <c r="E145" i="2" s="1"/>
  <c r="L145" i="2" s="1"/>
  <c r="M145" i="2" s="1"/>
  <c r="B151" i="2"/>
  <c r="B197" i="2"/>
  <c r="E197" i="2" s="1"/>
  <c r="L197" i="2" s="1"/>
  <c r="M197" i="2" s="1"/>
  <c r="B222" i="2"/>
  <c r="E222" i="2" s="1"/>
  <c r="L222" i="2" s="1"/>
  <c r="M222" i="2" s="1"/>
  <c r="B227" i="2"/>
  <c r="B273" i="2"/>
  <c r="E273" i="2" s="1"/>
  <c r="L273" i="2" s="1"/>
  <c r="M273" i="2" s="1"/>
  <c r="B346" i="2"/>
  <c r="E346" i="2" s="1"/>
  <c r="L346" i="2" s="1"/>
  <c r="M346" i="2" s="1"/>
  <c r="B235" i="2"/>
  <c r="B238" i="2"/>
  <c r="E238" i="2" s="1"/>
  <c r="L238" i="2" s="1"/>
  <c r="M238" i="2" s="1"/>
  <c r="B258" i="2"/>
  <c r="E258" i="2" s="1"/>
  <c r="L258" i="2" s="1"/>
  <c r="M258" i="2" s="1"/>
  <c r="B261" i="2"/>
  <c r="E261" i="2" s="1"/>
  <c r="L261" i="2" s="1"/>
  <c r="M261" i="2" s="1"/>
  <c r="B265" i="2"/>
  <c r="E265" i="2" s="1"/>
  <c r="L265" i="2" s="1"/>
  <c r="M265" i="2" s="1"/>
  <c r="B286" i="2"/>
  <c r="E286" i="2" s="1"/>
  <c r="L286" i="2" s="1"/>
  <c r="M286" i="2" s="1"/>
  <c r="B297" i="2"/>
  <c r="E297" i="2" s="1"/>
  <c r="L297" i="2" s="1"/>
  <c r="M297" i="2" s="1"/>
  <c r="B322" i="2"/>
  <c r="E322" i="2" s="1"/>
  <c r="L322" i="2" s="1"/>
  <c r="M322" i="2" s="1"/>
  <c r="B326" i="2"/>
  <c r="E326" i="2" s="1"/>
  <c r="L326" i="2" s="1"/>
  <c r="M326" i="2" s="1"/>
  <c r="B535" i="2"/>
  <c r="E535" i="2" s="1"/>
  <c r="L535" i="2" s="1"/>
  <c r="M535" i="2" s="1"/>
  <c r="B534" i="2"/>
  <c r="E534" i="2" s="1"/>
  <c r="L534" i="2" s="1"/>
  <c r="M534" i="2" s="1"/>
  <c r="B529" i="2"/>
  <c r="B521" i="2"/>
  <c r="B520" i="2"/>
  <c r="E520" i="2" s="1"/>
  <c r="L520" i="2" s="1"/>
  <c r="M520" i="2" s="1"/>
  <c r="B519" i="2"/>
  <c r="E519" i="2" s="1"/>
  <c r="L519" i="2" s="1"/>
  <c r="M519" i="2" s="1"/>
  <c r="B518" i="2"/>
  <c r="E518" i="2" s="1"/>
  <c r="L518" i="2" s="1"/>
  <c r="M518" i="2" s="1"/>
  <c r="B510" i="2"/>
  <c r="E510" i="2" s="1"/>
  <c r="L510" i="2" s="1"/>
  <c r="M510" i="2" s="1"/>
  <c r="B509" i="2"/>
  <c r="E509" i="2" s="1"/>
  <c r="L509" i="2" s="1"/>
  <c r="M509" i="2" s="1"/>
  <c r="B505" i="2"/>
  <c r="B503" i="2"/>
  <c r="B501" i="2"/>
  <c r="B491" i="2"/>
  <c r="B482" i="2"/>
  <c r="B479" i="2"/>
  <c r="B477" i="2"/>
  <c r="B474" i="2"/>
  <c r="B473" i="2"/>
  <c r="E473" i="2" s="1"/>
  <c r="L473" i="2" s="1"/>
  <c r="M473" i="2" s="1"/>
  <c r="B472" i="2"/>
  <c r="E472" i="2" s="1"/>
  <c r="L472" i="2" s="1"/>
  <c r="M472" i="2" s="1"/>
  <c r="B471" i="2"/>
  <c r="E471" i="2" s="1"/>
  <c r="L471" i="2" s="1"/>
  <c r="M471" i="2" s="1"/>
  <c r="B470" i="2"/>
  <c r="E470" i="2" s="1"/>
  <c r="L470" i="2" s="1"/>
  <c r="M470" i="2" s="1"/>
  <c r="B469" i="2"/>
  <c r="E469" i="2" s="1"/>
  <c r="L469" i="2" s="1"/>
  <c r="M469" i="2" s="1"/>
  <c r="B468" i="2"/>
  <c r="E468" i="2" s="1"/>
  <c r="L468" i="2" s="1"/>
  <c r="M468" i="2" s="1"/>
  <c r="B467" i="2"/>
  <c r="E467" i="2" s="1"/>
  <c r="L467" i="2" s="1"/>
  <c r="M467" i="2" s="1"/>
  <c r="B466" i="2"/>
  <c r="E466" i="2" s="1"/>
  <c r="L466" i="2" s="1"/>
  <c r="M466" i="2" s="1"/>
  <c r="B465" i="2"/>
  <c r="E465" i="2" s="1"/>
  <c r="L465" i="2" s="1"/>
  <c r="M465" i="2" s="1"/>
  <c r="B464" i="2"/>
  <c r="E464" i="2" s="1"/>
  <c r="L464" i="2" s="1"/>
  <c r="M464" i="2" s="1"/>
  <c r="B444" i="2"/>
  <c r="B439" i="2"/>
  <c r="E439" i="2" s="1"/>
  <c r="L439" i="2" s="1"/>
  <c r="M439" i="2" s="1"/>
  <c r="B438" i="2"/>
  <c r="E438" i="2" s="1"/>
  <c r="L438" i="2" s="1"/>
  <c r="M438" i="2" s="1"/>
  <c r="B527" i="2"/>
  <c r="B524" i="2"/>
  <c r="B516" i="2"/>
  <c r="B515" i="2"/>
  <c r="E515" i="2" s="1"/>
  <c r="L515" i="2" s="1"/>
  <c r="M515" i="2" s="1"/>
  <c r="B513" i="2"/>
  <c r="B512" i="2"/>
  <c r="E512" i="2" s="1"/>
  <c r="L512" i="2" s="1"/>
  <c r="M512" i="2" s="1"/>
  <c r="B497" i="2"/>
  <c r="B496" i="2"/>
  <c r="E496" i="2" s="1"/>
  <c r="L496" i="2" s="1"/>
  <c r="M496" i="2" s="1"/>
  <c r="B495" i="2"/>
  <c r="E495" i="2" s="1"/>
  <c r="L495" i="2" s="1"/>
  <c r="M495" i="2" s="1"/>
  <c r="B494" i="2"/>
  <c r="E494" i="2" s="1"/>
  <c r="L494" i="2" s="1"/>
  <c r="M494" i="2" s="1"/>
  <c r="B488" i="2"/>
  <c r="B487" i="2"/>
  <c r="E487" i="2" s="1"/>
  <c r="L487" i="2" s="1"/>
  <c r="M487" i="2" s="1"/>
  <c r="B485" i="2"/>
  <c r="B455" i="2"/>
  <c r="E455" i="2" s="1"/>
  <c r="L455" i="2" s="1"/>
  <c r="M455" i="2" s="1"/>
  <c r="B453" i="2"/>
  <c r="B441" i="2"/>
  <c r="E441" i="2" s="1"/>
  <c r="L441" i="2" s="1"/>
  <c r="M441" i="2" s="1"/>
  <c r="B430" i="2"/>
  <c r="B426" i="2"/>
  <c r="B425" i="2"/>
  <c r="E425" i="2" s="1"/>
  <c r="L425" i="2" s="1"/>
  <c r="M425" i="2" s="1"/>
  <c r="B424" i="2"/>
  <c r="E424" i="2" s="1"/>
  <c r="L424" i="2" s="1"/>
  <c r="M424" i="2" s="1"/>
  <c r="B415" i="2"/>
  <c r="B413" i="2"/>
  <c r="B409" i="2"/>
  <c r="B401" i="2"/>
  <c r="B397" i="2"/>
  <c r="B396" i="2"/>
  <c r="E396" i="2" s="1"/>
  <c r="L396" i="2" s="1"/>
  <c r="M396" i="2" s="1"/>
  <c r="B395" i="2"/>
  <c r="E395" i="2" s="1"/>
  <c r="L395" i="2" s="1"/>
  <c r="M395" i="2" s="1"/>
  <c r="B394" i="2"/>
  <c r="E394" i="2" s="1"/>
  <c r="L394" i="2" s="1"/>
  <c r="M394" i="2" s="1"/>
  <c r="B393" i="2"/>
  <c r="E393" i="2" s="1"/>
  <c r="L393" i="2" s="1"/>
  <c r="M393" i="2" s="1"/>
  <c r="B392" i="2"/>
  <c r="E392" i="2" s="1"/>
  <c r="L392" i="2" s="1"/>
  <c r="M392" i="2" s="1"/>
  <c r="B530" i="2"/>
  <c r="E530" i="2" s="1"/>
  <c r="L530" i="2" s="1"/>
  <c r="M530" i="2" s="1"/>
  <c r="B514" i="2"/>
  <c r="B507" i="2"/>
  <c r="E507" i="2" s="1"/>
  <c r="L507" i="2" s="1"/>
  <c r="M507" i="2" s="1"/>
  <c r="B502" i="2"/>
  <c r="B492" i="2"/>
  <c r="B489" i="2"/>
  <c r="E489" i="2" s="1"/>
  <c r="L489" i="2" s="1"/>
  <c r="M489" i="2" s="1"/>
  <c r="B484" i="2"/>
  <c r="B481" i="2"/>
  <c r="B476" i="2"/>
  <c r="B437" i="2"/>
  <c r="E437" i="2" s="1"/>
  <c r="L437" i="2" s="1"/>
  <c r="M437" i="2" s="1"/>
  <c r="B435" i="2"/>
  <c r="B429" i="2"/>
  <c r="B420" i="2"/>
  <c r="E420" i="2" s="1"/>
  <c r="L420" i="2" s="1"/>
  <c r="M420" i="2" s="1"/>
  <c r="B416" i="2"/>
  <c r="E416" i="2" s="1"/>
  <c r="L416" i="2" s="1"/>
  <c r="M416" i="2" s="1"/>
  <c r="B408" i="2"/>
  <c r="B400" i="2"/>
  <c r="B532" i="2"/>
  <c r="E532" i="2" s="1"/>
  <c r="L532" i="2" s="1"/>
  <c r="M532" i="2" s="1"/>
  <c r="B526" i="2"/>
  <c r="B504" i="2"/>
  <c r="B486" i="2"/>
  <c r="B478" i="2"/>
  <c r="B463" i="2"/>
  <c r="B461" i="2"/>
  <c r="E461" i="2" s="1"/>
  <c r="L461" i="2" s="1"/>
  <c r="M461" i="2" s="1"/>
  <c r="B459" i="2"/>
  <c r="E459" i="2" s="1"/>
  <c r="L459" i="2" s="1"/>
  <c r="M459" i="2" s="1"/>
  <c r="B457" i="2"/>
  <c r="E457" i="2" s="1"/>
  <c r="L457" i="2" s="1"/>
  <c r="M457" i="2" s="1"/>
  <c r="B452" i="2"/>
  <c r="B450" i="2"/>
  <c r="E450" i="2" s="1"/>
  <c r="L450" i="2" s="1"/>
  <c r="M450" i="2" s="1"/>
  <c r="B448" i="2"/>
  <c r="E448" i="2" s="1"/>
  <c r="L448" i="2" s="1"/>
  <c r="M448" i="2" s="1"/>
  <c r="B446" i="2"/>
  <c r="E446" i="2" s="1"/>
  <c r="L446" i="2" s="1"/>
  <c r="M446" i="2" s="1"/>
  <c r="B443" i="2"/>
  <c r="B421" i="2"/>
  <c r="E421" i="2" s="1"/>
  <c r="L421" i="2" s="1"/>
  <c r="M421" i="2" s="1"/>
  <c r="B417" i="2"/>
  <c r="E417" i="2" s="1"/>
  <c r="L417" i="2" s="1"/>
  <c r="M417" i="2" s="1"/>
  <c r="B410" i="2"/>
  <c r="E410" i="2" s="1"/>
  <c r="L410" i="2" s="1"/>
  <c r="M410" i="2" s="1"/>
  <c r="B402" i="2"/>
  <c r="E402" i="2" s="1"/>
  <c r="L402" i="2" s="1"/>
  <c r="M402" i="2" s="1"/>
  <c r="B389" i="2"/>
  <c r="B387" i="2"/>
  <c r="B386" i="2"/>
  <c r="E386" i="2" s="1"/>
  <c r="L386" i="2" s="1"/>
  <c r="M386" i="2" s="1"/>
  <c r="B383" i="2"/>
  <c r="B380" i="2"/>
  <c r="B379" i="2"/>
  <c r="E379" i="2" s="1"/>
  <c r="L379" i="2" s="1"/>
  <c r="M379" i="2" s="1"/>
  <c r="B377" i="2"/>
  <c r="B376" i="2"/>
  <c r="E376" i="2" s="1"/>
  <c r="L376" i="2" s="1"/>
  <c r="M376" i="2" s="1"/>
  <c r="B375" i="2"/>
  <c r="E375" i="2" s="1"/>
  <c r="L375" i="2" s="1"/>
  <c r="M375" i="2" s="1"/>
  <c r="B372" i="2"/>
  <c r="B371" i="2"/>
  <c r="E371" i="2" s="1"/>
  <c r="L371" i="2" s="1"/>
  <c r="M371" i="2" s="1"/>
  <c r="B370" i="2"/>
  <c r="E370" i="2" s="1"/>
  <c r="L370" i="2" s="1"/>
  <c r="M370" i="2" s="1"/>
  <c r="B369" i="2"/>
  <c r="E369" i="2" s="1"/>
  <c r="L369" i="2" s="1"/>
  <c r="M369" i="2" s="1"/>
  <c r="B368" i="2"/>
  <c r="E368" i="2" s="1"/>
  <c r="L368" i="2" s="1"/>
  <c r="M368" i="2" s="1"/>
  <c r="B367" i="2"/>
  <c r="E367" i="2" s="1"/>
  <c r="L367" i="2" s="1"/>
  <c r="M367" i="2" s="1"/>
  <c r="B366" i="2"/>
  <c r="E366" i="2" s="1"/>
  <c r="L366" i="2" s="1"/>
  <c r="M366" i="2" s="1"/>
  <c r="B365" i="2"/>
  <c r="E365" i="2" s="1"/>
  <c r="L365" i="2" s="1"/>
  <c r="M365" i="2" s="1"/>
  <c r="B364" i="2"/>
  <c r="E364" i="2" s="1"/>
  <c r="L364" i="2" s="1"/>
  <c r="M364" i="2" s="1"/>
  <c r="B360" i="2"/>
  <c r="B358" i="2"/>
  <c r="B356" i="2"/>
  <c r="B355" i="2"/>
  <c r="E355" i="2" s="1"/>
  <c r="L355" i="2" s="1"/>
  <c r="M355" i="2" s="1"/>
  <c r="B353" i="2"/>
  <c r="B350" i="2"/>
  <c r="B349" i="2"/>
  <c r="E349" i="2" s="1"/>
  <c r="L349" i="2" s="1"/>
  <c r="M349" i="2" s="1"/>
  <c r="B508" i="2"/>
  <c r="B506" i="2"/>
  <c r="E506" i="2" s="1"/>
  <c r="L506" i="2" s="1"/>
  <c r="M506" i="2" s="1"/>
  <c r="B498" i="2"/>
  <c r="B480" i="2"/>
  <c r="E480" i="2" s="1"/>
  <c r="L480" i="2" s="1"/>
  <c r="M480" i="2" s="1"/>
  <c r="B475" i="2"/>
  <c r="E475" i="2" s="1"/>
  <c r="L475" i="2" s="1"/>
  <c r="M475" i="2" s="1"/>
  <c r="B454" i="2"/>
  <c r="B436" i="2"/>
  <c r="B434" i="2"/>
  <c r="B427" i="2"/>
  <c r="E427" i="2" s="1"/>
  <c r="L427" i="2" s="1"/>
  <c r="M427" i="2" s="1"/>
  <c r="B422" i="2"/>
  <c r="E422" i="2" s="1"/>
  <c r="L422" i="2" s="1"/>
  <c r="M422" i="2" s="1"/>
  <c r="B418" i="2"/>
  <c r="E418" i="2" s="1"/>
  <c r="L418" i="2" s="1"/>
  <c r="M418" i="2" s="1"/>
  <c r="B403" i="2"/>
  <c r="B398" i="2"/>
  <c r="E398" i="2" s="1"/>
  <c r="L398" i="2" s="1"/>
  <c r="M398" i="2" s="1"/>
  <c r="B391" i="2"/>
  <c r="E391" i="2" s="1"/>
  <c r="L391" i="2" s="1"/>
  <c r="M391" i="2" s="1"/>
  <c r="B458" i="2"/>
  <c r="E458" i="2" s="1"/>
  <c r="L458" i="2" s="1"/>
  <c r="M458" i="2" s="1"/>
  <c r="B447" i="2"/>
  <c r="E447" i="2" s="1"/>
  <c r="L447" i="2" s="1"/>
  <c r="M447" i="2" s="1"/>
  <c r="B419" i="2"/>
  <c r="E419" i="2" s="1"/>
  <c r="L419" i="2" s="1"/>
  <c r="M419" i="2" s="1"/>
  <c r="B407" i="2"/>
  <c r="E407" i="2" s="1"/>
  <c r="L407" i="2" s="1"/>
  <c r="M407" i="2" s="1"/>
  <c r="B399" i="2"/>
  <c r="E399" i="2" s="1"/>
  <c r="L399" i="2" s="1"/>
  <c r="M399" i="2" s="1"/>
  <c r="B373" i="2"/>
  <c r="E373" i="2" s="1"/>
  <c r="L373" i="2" s="1"/>
  <c r="M373" i="2" s="1"/>
  <c r="B362" i="2"/>
  <c r="E362" i="2" s="1"/>
  <c r="L362" i="2" s="1"/>
  <c r="M362" i="2" s="1"/>
  <c r="B359" i="2"/>
  <c r="B347" i="2"/>
  <c r="E347" i="2" s="1"/>
  <c r="L347" i="2" s="1"/>
  <c r="M347" i="2" s="1"/>
  <c r="B340" i="2"/>
  <c r="B339" i="2"/>
  <c r="E339" i="2" s="1"/>
  <c r="L339" i="2" s="1"/>
  <c r="M339" i="2" s="1"/>
  <c r="B338" i="2"/>
  <c r="E338" i="2" s="1"/>
  <c r="L338" i="2" s="1"/>
  <c r="M338" i="2" s="1"/>
  <c r="B337" i="2"/>
  <c r="E337" i="2" s="1"/>
  <c r="L337" i="2" s="1"/>
  <c r="M337" i="2" s="1"/>
  <c r="B336" i="2"/>
  <c r="E336" i="2" s="1"/>
  <c r="L336" i="2" s="1"/>
  <c r="M336" i="2" s="1"/>
  <c r="B335" i="2"/>
  <c r="E335" i="2" s="1"/>
  <c r="L335" i="2" s="1"/>
  <c r="M335" i="2" s="1"/>
  <c r="B334" i="2"/>
  <c r="E334" i="2" s="1"/>
  <c r="L334" i="2" s="1"/>
  <c r="M334" i="2" s="1"/>
  <c r="B333" i="2"/>
  <c r="E333" i="2" s="1"/>
  <c r="L333" i="2" s="1"/>
  <c r="M333" i="2" s="1"/>
  <c r="B332" i="2"/>
  <c r="E332" i="2" s="1"/>
  <c r="L332" i="2" s="1"/>
  <c r="M332" i="2" s="1"/>
  <c r="B328" i="2"/>
  <c r="B321" i="2"/>
  <c r="B320" i="2"/>
  <c r="E320" i="2" s="1"/>
  <c r="L320" i="2" s="1"/>
  <c r="M320" i="2" s="1"/>
  <c r="B319" i="2"/>
  <c r="E319" i="2" s="1"/>
  <c r="L319" i="2" s="1"/>
  <c r="M319" i="2" s="1"/>
  <c r="B318" i="2"/>
  <c r="E318" i="2" s="1"/>
  <c r="L318" i="2" s="1"/>
  <c r="M318" i="2" s="1"/>
  <c r="B314" i="2"/>
  <c r="B313" i="2"/>
  <c r="E313" i="2" s="1"/>
  <c r="L313" i="2" s="1"/>
  <c r="M313" i="2" s="1"/>
  <c r="B310" i="2"/>
  <c r="B307" i="2"/>
  <c r="B305" i="2"/>
  <c r="B302" i="2"/>
  <c r="B301" i="2"/>
  <c r="E301" i="2" s="1"/>
  <c r="L301" i="2" s="1"/>
  <c r="M301" i="2" s="1"/>
  <c r="B296" i="2"/>
  <c r="B295" i="2"/>
  <c r="E295" i="2" s="1"/>
  <c r="L295" i="2" s="1"/>
  <c r="M295" i="2" s="1"/>
  <c r="B291" i="2"/>
  <c r="B290" i="2"/>
  <c r="E290" i="2" s="1"/>
  <c r="L290" i="2" s="1"/>
  <c r="M290" i="2" s="1"/>
  <c r="B289" i="2"/>
  <c r="E289" i="2" s="1"/>
  <c r="L289" i="2" s="1"/>
  <c r="M289" i="2" s="1"/>
  <c r="B283" i="2"/>
  <c r="B282" i="2"/>
  <c r="E282" i="2" s="1"/>
  <c r="L282" i="2" s="1"/>
  <c r="M282" i="2" s="1"/>
  <c r="B281" i="2"/>
  <c r="E281" i="2" s="1"/>
  <c r="L281" i="2" s="1"/>
  <c r="M281" i="2" s="1"/>
  <c r="B280" i="2"/>
  <c r="E280" i="2" s="1"/>
  <c r="L280" i="2" s="1"/>
  <c r="M280" i="2" s="1"/>
  <c r="B279" i="2"/>
  <c r="E279" i="2" s="1"/>
  <c r="L279" i="2" s="1"/>
  <c r="M279" i="2" s="1"/>
  <c r="B278" i="2"/>
  <c r="E278" i="2" s="1"/>
  <c r="L278" i="2" s="1"/>
  <c r="M278" i="2" s="1"/>
  <c r="B277" i="2"/>
  <c r="E277" i="2" s="1"/>
  <c r="L277" i="2" s="1"/>
  <c r="M277" i="2" s="1"/>
  <c r="B276" i="2"/>
  <c r="E276" i="2" s="1"/>
  <c r="L276" i="2" s="1"/>
  <c r="M276" i="2" s="1"/>
  <c r="B269" i="2"/>
  <c r="B268" i="2"/>
  <c r="E268" i="2" s="1"/>
  <c r="L268" i="2" s="1"/>
  <c r="M268" i="2" s="1"/>
  <c r="B267" i="2"/>
  <c r="E267" i="2" s="1"/>
  <c r="L267" i="2" s="1"/>
  <c r="M267" i="2" s="1"/>
  <c r="B260" i="2"/>
  <c r="B255" i="2"/>
  <c r="B252" i="2"/>
  <c r="B250" i="2"/>
  <c r="B248" i="2"/>
  <c r="B247" i="2"/>
  <c r="E247" i="2" s="1"/>
  <c r="L247" i="2" s="1"/>
  <c r="M247" i="2" s="1"/>
  <c r="B246" i="2"/>
  <c r="E246" i="2" s="1"/>
  <c r="L246" i="2" s="1"/>
  <c r="M246" i="2" s="1"/>
  <c r="B245" i="2"/>
  <c r="E245" i="2" s="1"/>
  <c r="L245" i="2" s="1"/>
  <c r="M245" i="2" s="1"/>
  <c r="B244" i="2"/>
  <c r="E244" i="2" s="1"/>
  <c r="L244" i="2" s="1"/>
  <c r="M244" i="2" s="1"/>
  <c r="B243" i="2"/>
  <c r="E243" i="2" s="1"/>
  <c r="L243" i="2" s="1"/>
  <c r="M243" i="2" s="1"/>
  <c r="B500" i="2"/>
  <c r="B428" i="2"/>
  <c r="E428" i="2" s="1"/>
  <c r="L428" i="2" s="1"/>
  <c r="M428" i="2" s="1"/>
  <c r="B423" i="2"/>
  <c r="B414" i="2"/>
  <c r="B388" i="2"/>
  <c r="B385" i="2"/>
  <c r="B382" i="2"/>
  <c r="B361" i="2"/>
  <c r="E361" i="2" s="1"/>
  <c r="L361" i="2" s="1"/>
  <c r="M361" i="2" s="1"/>
  <c r="B344" i="2"/>
  <c r="E344" i="2" s="1"/>
  <c r="L344" i="2" s="1"/>
  <c r="M344" i="2" s="1"/>
  <c r="B343" i="2"/>
  <c r="E343" i="2" s="1"/>
  <c r="L343" i="2" s="1"/>
  <c r="M343" i="2" s="1"/>
  <c r="B525" i="2"/>
  <c r="E525" i="2" s="1"/>
  <c r="L525" i="2" s="1"/>
  <c r="M525" i="2" s="1"/>
  <c r="B522" i="2"/>
  <c r="B460" i="2"/>
  <c r="E460" i="2" s="1"/>
  <c r="L460" i="2" s="1"/>
  <c r="M460" i="2" s="1"/>
  <c r="B405" i="2"/>
  <c r="E405" i="2" s="1"/>
  <c r="L405" i="2" s="1"/>
  <c r="M405" i="2" s="1"/>
  <c r="B378" i="2"/>
  <c r="B345" i="2"/>
  <c r="E345" i="2" s="1"/>
  <c r="L345" i="2" s="1"/>
  <c r="M345" i="2" s="1"/>
  <c r="B327" i="2"/>
  <c r="B325" i="2"/>
  <c r="E325" i="2" s="1"/>
  <c r="L325" i="2" s="1"/>
  <c r="M325" i="2" s="1"/>
  <c r="B323" i="2"/>
  <c r="E323" i="2" s="1"/>
  <c r="L323" i="2" s="1"/>
  <c r="M323" i="2" s="1"/>
  <c r="B312" i="2"/>
  <c r="B300" i="2"/>
  <c r="B298" i="2"/>
  <c r="E298" i="2" s="1"/>
  <c r="L298" i="2" s="1"/>
  <c r="M298" i="2" s="1"/>
  <c r="B287" i="2"/>
  <c r="E287" i="2" s="1"/>
  <c r="L287" i="2" s="1"/>
  <c r="M287" i="2" s="1"/>
  <c r="B285" i="2"/>
  <c r="E285" i="2" s="1"/>
  <c r="L285" i="2" s="1"/>
  <c r="M285" i="2" s="1"/>
  <c r="B266" i="2"/>
  <c r="B264" i="2"/>
  <c r="E264" i="2" s="1"/>
  <c r="L264" i="2" s="1"/>
  <c r="M264" i="2" s="1"/>
  <c r="B262" i="2"/>
  <c r="E262" i="2" s="1"/>
  <c r="L262" i="2" s="1"/>
  <c r="M262" i="2" s="1"/>
  <c r="B251" i="2"/>
  <c r="B241" i="2"/>
  <c r="E241" i="2" s="1"/>
  <c r="L241" i="2" s="1"/>
  <c r="M241" i="2" s="1"/>
  <c r="B239" i="2"/>
  <c r="E239" i="2" s="1"/>
  <c r="L239" i="2" s="1"/>
  <c r="M239" i="2" s="1"/>
  <c r="B236" i="2"/>
  <c r="B233" i="2"/>
  <c r="E233" i="2" s="1"/>
  <c r="L233" i="2" s="1"/>
  <c r="M233" i="2" s="1"/>
  <c r="B230" i="2"/>
  <c r="B228" i="2"/>
  <c r="B226" i="2"/>
  <c r="B185" i="2"/>
  <c r="B184" i="2"/>
  <c r="E184" i="2" s="1"/>
  <c r="L184" i="2" s="1"/>
  <c r="M184" i="2" s="1"/>
  <c r="B182" i="2"/>
  <c r="B179" i="2"/>
  <c r="B381" i="2"/>
  <c r="E381" i="2" s="1"/>
  <c r="L381" i="2" s="1"/>
  <c r="M381" i="2" s="1"/>
  <c r="B352" i="2"/>
  <c r="B348" i="2"/>
  <c r="B331" i="2"/>
  <c r="B329" i="2"/>
  <c r="E329" i="2" s="1"/>
  <c r="L329" i="2" s="1"/>
  <c r="M329" i="2" s="1"/>
  <c r="B316" i="2"/>
  <c r="E316" i="2" s="1"/>
  <c r="L316" i="2" s="1"/>
  <c r="M316" i="2" s="1"/>
  <c r="B309" i="2"/>
  <c r="B304" i="2"/>
  <c r="B293" i="2"/>
  <c r="E293" i="2" s="1"/>
  <c r="L293" i="2" s="1"/>
  <c r="M293" i="2" s="1"/>
  <c r="B274" i="2"/>
  <c r="E274" i="2" s="1"/>
  <c r="L274" i="2" s="1"/>
  <c r="M274" i="2" s="1"/>
  <c r="B272" i="2"/>
  <c r="E272" i="2" s="1"/>
  <c r="L272" i="2" s="1"/>
  <c r="M272" i="2" s="1"/>
  <c r="B270" i="2"/>
  <c r="E270" i="2" s="1"/>
  <c r="L270" i="2" s="1"/>
  <c r="M270" i="2" s="1"/>
  <c r="B259" i="2"/>
  <c r="B257" i="2"/>
  <c r="E257" i="2" s="1"/>
  <c r="L257" i="2" s="1"/>
  <c r="M257" i="2" s="1"/>
  <c r="B253" i="2"/>
  <c r="E253" i="2" s="1"/>
  <c r="L253" i="2" s="1"/>
  <c r="M253" i="2" s="1"/>
  <c r="B242" i="2"/>
  <c r="B234" i="2"/>
  <c r="E234" i="2" s="1"/>
  <c r="L234" i="2" s="1"/>
  <c r="M234" i="2" s="1"/>
  <c r="B224" i="2"/>
  <c r="B215" i="2"/>
  <c r="B214" i="2"/>
  <c r="E214" i="2" s="1"/>
  <c r="L214" i="2" s="1"/>
  <c r="M214" i="2" s="1"/>
  <c r="B213" i="2"/>
  <c r="E213" i="2" s="1"/>
  <c r="L213" i="2" s="1"/>
  <c r="M213" i="2" s="1"/>
  <c r="B211" i="2"/>
  <c r="B210" i="2"/>
  <c r="E210" i="2" s="1"/>
  <c r="L210" i="2" s="1"/>
  <c r="M210" i="2" s="1"/>
  <c r="B209" i="2"/>
  <c r="E209" i="2" s="1"/>
  <c r="L209" i="2" s="1"/>
  <c r="M209" i="2" s="1"/>
  <c r="B208" i="2"/>
  <c r="E208" i="2" s="1"/>
  <c r="L208" i="2" s="1"/>
  <c r="M208" i="2" s="1"/>
  <c r="B207" i="2"/>
  <c r="E207" i="2" s="1"/>
  <c r="L207" i="2" s="1"/>
  <c r="M207" i="2" s="1"/>
  <c r="B206" i="2"/>
  <c r="E206" i="2" s="1"/>
  <c r="L206" i="2" s="1"/>
  <c r="M206" i="2" s="1"/>
  <c r="B205" i="2"/>
  <c r="E205" i="2" s="1"/>
  <c r="L205" i="2" s="1"/>
  <c r="M205" i="2" s="1"/>
  <c r="B204" i="2"/>
  <c r="E204" i="2" s="1"/>
  <c r="L204" i="2" s="1"/>
  <c r="M204" i="2" s="1"/>
  <c r="B203" i="2"/>
  <c r="E203" i="2" s="1"/>
  <c r="L203" i="2" s="1"/>
  <c r="M203" i="2" s="1"/>
  <c r="B202" i="2"/>
  <c r="E202" i="2" s="1"/>
  <c r="L202" i="2" s="1"/>
  <c r="M202" i="2" s="1"/>
  <c r="B201" i="2"/>
  <c r="E201" i="2" s="1"/>
  <c r="L201" i="2" s="1"/>
  <c r="M201" i="2" s="1"/>
  <c r="B200" i="2"/>
  <c r="E200" i="2" s="1"/>
  <c r="L200" i="2" s="1"/>
  <c r="M200" i="2" s="1"/>
  <c r="B199" i="2"/>
  <c r="E199" i="2" s="1"/>
  <c r="L199" i="2" s="1"/>
  <c r="M199" i="2" s="1"/>
  <c r="B196" i="2"/>
  <c r="B195" i="2"/>
  <c r="E195" i="2" s="1"/>
  <c r="L195" i="2" s="1"/>
  <c r="M195" i="2" s="1"/>
  <c r="B193" i="2"/>
  <c r="B192" i="2"/>
  <c r="E192" i="2" s="1"/>
  <c r="L192" i="2" s="1"/>
  <c r="M192" i="2" s="1"/>
  <c r="B191" i="2"/>
  <c r="E191" i="2" s="1"/>
  <c r="L191" i="2" s="1"/>
  <c r="M191" i="2" s="1"/>
  <c r="B189" i="2"/>
  <c r="B3" i="2"/>
  <c r="B6" i="2"/>
  <c r="E6" i="2" s="1"/>
  <c r="L6" i="2" s="1"/>
  <c r="M6" i="2" s="1"/>
  <c r="B7" i="2"/>
  <c r="B10" i="2"/>
  <c r="B12" i="2"/>
  <c r="B14" i="2"/>
  <c r="E14" i="2" s="1"/>
  <c r="L14" i="2" s="1"/>
  <c r="M14" i="2" s="1"/>
  <c r="B15" i="2"/>
  <c r="E15" i="2" s="1"/>
  <c r="L15" i="2" s="1"/>
  <c r="M15" i="2" s="1"/>
  <c r="B16" i="2"/>
  <c r="B19" i="2"/>
  <c r="B21" i="2"/>
  <c r="B23" i="2"/>
  <c r="B25" i="2"/>
  <c r="E25" i="2" s="1"/>
  <c r="L25" i="2" s="1"/>
  <c r="M25" i="2" s="1"/>
  <c r="B26" i="2"/>
  <c r="E26" i="2" s="1"/>
  <c r="L26" i="2" s="1"/>
  <c r="M26" i="2" s="1"/>
  <c r="B27" i="2"/>
  <c r="B29" i="2"/>
  <c r="B32" i="2"/>
  <c r="B35" i="2"/>
  <c r="B37" i="2"/>
  <c r="E37" i="2" s="1"/>
  <c r="L37" i="2" s="1"/>
  <c r="M37" i="2" s="1"/>
  <c r="B38" i="2"/>
  <c r="E38" i="2" s="1"/>
  <c r="L38" i="2" s="1"/>
  <c r="M38" i="2" s="1"/>
  <c r="B39" i="2"/>
  <c r="B41" i="2"/>
  <c r="E41" i="2" s="1"/>
  <c r="L41" i="2" s="1"/>
  <c r="M41" i="2" s="1"/>
  <c r="B42" i="2"/>
  <c r="B45" i="2"/>
  <c r="B48" i="2"/>
  <c r="B51" i="2"/>
  <c r="B53" i="2"/>
  <c r="B58" i="2"/>
  <c r="E58" i="2" s="1"/>
  <c r="L58" i="2" s="1"/>
  <c r="M58" i="2" s="1"/>
  <c r="B101" i="2"/>
  <c r="E101" i="2" s="1"/>
  <c r="L101" i="2" s="1"/>
  <c r="M101" i="2" s="1"/>
  <c r="B102" i="2"/>
  <c r="B104" i="2"/>
  <c r="E104" i="2" s="1"/>
  <c r="L104" i="2" s="1"/>
  <c r="M104" i="2" s="1"/>
  <c r="B105" i="2"/>
  <c r="B107" i="2"/>
  <c r="B110" i="2"/>
  <c r="B112" i="2"/>
  <c r="B114" i="2"/>
  <c r="E114" i="2" s="1"/>
  <c r="L114" i="2" s="1"/>
  <c r="M114" i="2" s="1"/>
  <c r="B115" i="2"/>
  <c r="B120" i="2"/>
  <c r="B123" i="2"/>
  <c r="E123" i="2" s="1"/>
  <c r="L123" i="2" s="1"/>
  <c r="M123" i="2" s="1"/>
  <c r="B124" i="2"/>
  <c r="E124" i="2" s="1"/>
  <c r="L124" i="2" s="1"/>
  <c r="M124" i="2" s="1"/>
  <c r="B125" i="2"/>
  <c r="B127" i="2"/>
  <c r="E127" i="2" s="1"/>
  <c r="L127" i="2" s="1"/>
  <c r="M127" i="2" s="1"/>
  <c r="B128" i="2"/>
  <c r="B132" i="2"/>
  <c r="B135" i="2"/>
  <c r="E135" i="2" s="1"/>
  <c r="L135" i="2" s="1"/>
  <c r="M135" i="2" s="1"/>
  <c r="B136" i="2"/>
  <c r="E136" i="2" s="1"/>
  <c r="L136" i="2" s="1"/>
  <c r="M136" i="2" s="1"/>
  <c r="B152" i="2"/>
  <c r="E152" i="2" s="1"/>
  <c r="L152" i="2" s="1"/>
  <c r="M152" i="2" s="1"/>
  <c r="B153" i="2"/>
  <c r="B156" i="2"/>
  <c r="E156" i="2" s="1"/>
  <c r="L156" i="2" s="1"/>
  <c r="M156" i="2" s="1"/>
  <c r="B161" i="2"/>
  <c r="B164" i="2"/>
  <c r="E164" i="2" s="1"/>
  <c r="L164" i="2" s="1"/>
  <c r="M164" i="2" s="1"/>
  <c r="B165" i="2"/>
  <c r="E165" i="2" s="1"/>
  <c r="L165" i="2" s="1"/>
  <c r="M165" i="2" s="1"/>
  <c r="B166" i="2"/>
  <c r="E166" i="2" s="1"/>
  <c r="L166" i="2" s="1"/>
  <c r="M166" i="2" s="1"/>
  <c r="B167" i="2"/>
  <c r="E167" i="2" s="1"/>
  <c r="L167" i="2" s="1"/>
  <c r="M167" i="2" s="1"/>
  <c r="B168" i="2"/>
  <c r="E168" i="2" s="1"/>
  <c r="L168" i="2" s="1"/>
  <c r="M168" i="2" s="1"/>
  <c r="B169" i="2"/>
  <c r="E169" i="2" s="1"/>
  <c r="L169" i="2" s="1"/>
  <c r="M169" i="2" s="1"/>
  <c r="B170" i="2"/>
  <c r="E170" i="2" s="1"/>
  <c r="L170" i="2" s="1"/>
  <c r="M170" i="2" s="1"/>
  <c r="B171" i="2"/>
  <c r="E171" i="2" s="1"/>
  <c r="L171" i="2" s="1"/>
  <c r="M171" i="2" s="1"/>
  <c r="B172" i="2"/>
  <c r="B183" i="2"/>
  <c r="B188" i="2"/>
  <c r="B212" i="2"/>
  <c r="B225" i="2"/>
  <c r="E225" i="2" s="1"/>
  <c r="L225" i="2" s="1"/>
  <c r="M225" i="2" s="1"/>
  <c r="B249" i="2"/>
  <c r="B271" i="2"/>
  <c r="E271" i="2" s="1"/>
  <c r="L271" i="2" s="1"/>
  <c r="M271" i="2" s="1"/>
  <c r="B275" i="2"/>
  <c r="B294" i="2"/>
  <c r="B308" i="2"/>
  <c r="E308" i="2" s="1"/>
  <c r="L308" i="2" s="1"/>
  <c r="M308" i="2" s="1"/>
  <c r="B311" i="2"/>
  <c r="E311" i="2" s="1"/>
  <c r="L311" i="2" s="1"/>
  <c r="M311" i="2" s="1"/>
  <c r="B315" i="2"/>
  <c r="E315" i="2" s="1"/>
  <c r="L315" i="2" s="1"/>
  <c r="M315" i="2" s="1"/>
  <c r="B357" i="2"/>
  <c r="B449" i="2"/>
  <c r="E449" i="2" s="1"/>
  <c r="L449" i="2" s="1"/>
  <c r="M449" i="2" s="1"/>
  <c r="B60" i="2"/>
  <c r="E60" i="2" s="1"/>
  <c r="L60" i="2" s="1"/>
  <c r="M60" i="2" s="1"/>
  <c r="B61" i="2"/>
  <c r="B63" i="2"/>
  <c r="E63" i="2" s="1"/>
  <c r="L63" i="2" s="1"/>
  <c r="M63" i="2" s="1"/>
  <c r="B64" i="2"/>
  <c r="E64" i="2" s="1"/>
  <c r="L64" i="2" s="1"/>
  <c r="M64" i="2" s="1"/>
  <c r="B65" i="2"/>
  <c r="E65" i="2" s="1"/>
  <c r="L65" i="2" s="1"/>
  <c r="M65" i="2" s="1"/>
  <c r="B66" i="2"/>
  <c r="E66" i="2" s="1"/>
  <c r="L66" i="2" s="1"/>
  <c r="M66" i="2" s="1"/>
  <c r="B67" i="2"/>
  <c r="E67" i="2" s="1"/>
  <c r="L67" i="2" s="1"/>
  <c r="M67" i="2" s="1"/>
  <c r="B68" i="2"/>
  <c r="E68" i="2" s="1"/>
  <c r="L68" i="2" s="1"/>
  <c r="M68" i="2" s="1"/>
  <c r="B69" i="2"/>
  <c r="E69" i="2" s="1"/>
  <c r="L69" i="2" s="1"/>
  <c r="M69" i="2" s="1"/>
  <c r="B70" i="2"/>
  <c r="E70" i="2" s="1"/>
  <c r="L70" i="2" s="1"/>
  <c r="M70" i="2" s="1"/>
  <c r="B71" i="2"/>
  <c r="B75" i="2"/>
  <c r="B77" i="2"/>
  <c r="E77" i="2" s="1"/>
  <c r="L77" i="2" s="1"/>
  <c r="M77" i="2" s="1"/>
  <c r="B78" i="2"/>
  <c r="E78" i="2" s="1"/>
  <c r="L78" i="2" s="1"/>
  <c r="M78" i="2" s="1"/>
  <c r="B79" i="2"/>
  <c r="E79" i="2" s="1"/>
  <c r="L79" i="2" s="1"/>
  <c r="M79" i="2" s="1"/>
  <c r="B80" i="2"/>
  <c r="B83" i="2"/>
  <c r="E83" i="2" s="1"/>
  <c r="L83" i="2" s="1"/>
  <c r="M83" i="2" s="1"/>
  <c r="B84" i="2"/>
  <c r="E84" i="2" s="1"/>
  <c r="L84" i="2" s="1"/>
  <c r="M84" i="2" s="1"/>
  <c r="B85" i="2"/>
  <c r="E85" i="2" s="1"/>
  <c r="L85" i="2" s="1"/>
  <c r="M85" i="2" s="1"/>
  <c r="B86" i="2"/>
  <c r="E86" i="2" s="1"/>
  <c r="L86" i="2" s="1"/>
  <c r="M86" i="2" s="1"/>
  <c r="B87" i="2"/>
  <c r="B96" i="2"/>
  <c r="E96" i="2" s="1"/>
  <c r="L96" i="2" s="1"/>
  <c r="M96" i="2" s="1"/>
  <c r="B97" i="2"/>
  <c r="B99" i="2"/>
  <c r="B138" i="2"/>
  <c r="B141" i="2"/>
  <c r="E141" i="2" s="1"/>
  <c r="L141" i="2" s="1"/>
  <c r="M141" i="2" s="1"/>
  <c r="B142" i="2"/>
  <c r="E142" i="2" s="1"/>
  <c r="L142" i="2" s="1"/>
  <c r="M142" i="2" s="1"/>
  <c r="B143" i="2"/>
  <c r="B147" i="2"/>
  <c r="B149" i="2"/>
  <c r="E149" i="2" s="1"/>
  <c r="L149" i="2" s="1"/>
  <c r="M149" i="2" s="1"/>
  <c r="B158" i="2"/>
  <c r="E158" i="2" s="1"/>
  <c r="L158" i="2" s="1"/>
  <c r="M158" i="2" s="1"/>
  <c r="B159" i="2"/>
  <c r="B175" i="2"/>
  <c r="E175" i="2" s="1"/>
  <c r="L175" i="2" s="1"/>
  <c r="M175" i="2" s="1"/>
  <c r="B176" i="2"/>
  <c r="B181" i="2"/>
  <c r="B186" i="2"/>
  <c r="B198" i="2"/>
  <c r="B217" i="2"/>
  <c r="E217" i="2" s="1"/>
  <c r="L217" i="2" s="1"/>
  <c r="M217" i="2" s="1"/>
  <c r="B219" i="2"/>
  <c r="E219" i="2" s="1"/>
  <c r="L219" i="2" s="1"/>
  <c r="M219" i="2" s="1"/>
  <c r="B221" i="2"/>
  <c r="E221" i="2" s="1"/>
  <c r="L221" i="2" s="1"/>
  <c r="M221" i="2" s="1"/>
  <c r="B223" i="2"/>
  <c r="B231" i="2"/>
  <c r="E231" i="2" s="1"/>
  <c r="L231" i="2" s="1"/>
  <c r="M231" i="2" s="1"/>
  <c r="B256" i="2"/>
  <c r="E256" i="2" s="1"/>
  <c r="L256" i="2" s="1"/>
  <c r="M256" i="2" s="1"/>
  <c r="B263" i="2"/>
  <c r="E263" i="2" s="1"/>
  <c r="L263" i="2" s="1"/>
  <c r="M263" i="2" s="1"/>
  <c r="B284" i="2"/>
  <c r="E284" i="2" s="1"/>
  <c r="L284" i="2" s="1"/>
  <c r="M284" i="2" s="1"/>
  <c r="B288" i="2"/>
  <c r="B299" i="2"/>
  <c r="E299" i="2" s="1"/>
  <c r="L299" i="2" s="1"/>
  <c r="M299" i="2" s="1"/>
  <c r="B303" i="2"/>
  <c r="E303" i="2" s="1"/>
  <c r="L303" i="2" s="1"/>
  <c r="M303" i="2" s="1"/>
  <c r="B306" i="2"/>
  <c r="B324" i="2"/>
  <c r="E324" i="2" s="1"/>
  <c r="L324" i="2" s="1"/>
  <c r="M324" i="2" s="1"/>
  <c r="B354" i="2"/>
  <c r="B363" i="2"/>
  <c r="B384" i="2"/>
  <c r="E384" i="2" s="1"/>
  <c r="L384" i="2" s="1"/>
  <c r="M384" i="2" s="1"/>
  <c r="B451" i="2"/>
  <c r="E451" i="2" s="1"/>
  <c r="L451" i="2" s="1"/>
  <c r="M451" i="2" s="1"/>
  <c r="M1" i="2" l="1"/>
  <c r="L1" i="2"/>
  <c r="M536" i="1"/>
  <c r="M533" i="1"/>
  <c r="M531" i="1"/>
  <c r="M528" i="1"/>
  <c r="M523" i="1"/>
  <c r="M511" i="1"/>
  <c r="M499" i="1"/>
  <c r="M493" i="1"/>
  <c r="M490" i="1"/>
  <c r="M483" i="1"/>
  <c r="M456" i="1"/>
  <c r="M445" i="1"/>
  <c r="M442" i="1"/>
  <c r="M440" i="1"/>
  <c r="M433" i="1"/>
  <c r="M432" i="1"/>
  <c r="M431" i="1"/>
  <c r="M412" i="1"/>
  <c r="M411" i="1"/>
  <c r="M406" i="1"/>
  <c r="M404" i="1"/>
  <c r="M390" i="1"/>
  <c r="M342" i="1"/>
  <c r="M240" i="1"/>
  <c r="M187" i="1"/>
  <c r="M173" i="1"/>
  <c r="M160" i="1"/>
  <c r="M157" i="1"/>
  <c r="M155" i="1"/>
  <c r="M154" i="1"/>
  <c r="M150" i="1"/>
  <c r="M137" i="1"/>
  <c r="M100" i="1"/>
  <c r="M59" i="1"/>
  <c r="K1" i="1"/>
  <c r="M529" i="1"/>
  <c r="M527" i="1"/>
  <c r="M526" i="1"/>
  <c r="M524" i="1"/>
  <c r="M522" i="1"/>
  <c r="M521" i="1"/>
  <c r="M517" i="1"/>
  <c r="M516" i="1"/>
  <c r="M514" i="1"/>
  <c r="M513" i="1"/>
  <c r="M508" i="1"/>
  <c r="M505" i="1"/>
  <c r="M504" i="1"/>
  <c r="M503" i="1"/>
  <c r="M502" i="1"/>
  <c r="M501" i="1"/>
  <c r="M500" i="1"/>
  <c r="M498" i="1"/>
  <c r="M497" i="1"/>
  <c r="M492" i="1"/>
  <c r="M491" i="1"/>
  <c r="M488" i="1"/>
  <c r="M486" i="1"/>
  <c r="M485" i="1"/>
  <c r="M484" i="1"/>
  <c r="M482" i="1"/>
  <c r="M481" i="1"/>
  <c r="M479" i="1"/>
  <c r="M478" i="1"/>
  <c r="M477" i="1"/>
  <c r="M476" i="1"/>
  <c r="M474" i="1"/>
  <c r="M463" i="1"/>
  <c r="M454" i="1"/>
  <c r="M453" i="1"/>
  <c r="M452" i="1"/>
  <c r="M444" i="1"/>
  <c r="M443" i="1"/>
  <c r="M436" i="1"/>
  <c r="M435" i="1"/>
  <c r="M434" i="1"/>
  <c r="M430" i="1"/>
  <c r="M429" i="1"/>
  <c r="M426" i="1"/>
  <c r="M423" i="1"/>
  <c r="M415" i="1"/>
  <c r="M414" i="1"/>
  <c r="M413" i="1"/>
  <c r="M409" i="1"/>
  <c r="M408" i="1"/>
  <c r="M403" i="1"/>
  <c r="M401" i="1"/>
  <c r="M400" i="1"/>
  <c r="M397" i="1"/>
  <c r="M389" i="1"/>
  <c r="M388" i="1"/>
  <c r="M387" i="1"/>
  <c r="M385" i="1"/>
  <c r="M383" i="1"/>
  <c r="M382" i="1"/>
  <c r="M380" i="1"/>
  <c r="M378" i="1"/>
  <c r="M377" i="1"/>
  <c r="M374" i="1"/>
  <c r="M372" i="1"/>
  <c r="M363" i="1"/>
  <c r="M360" i="1"/>
  <c r="M359" i="1"/>
  <c r="M358" i="1"/>
  <c r="M357" i="1"/>
  <c r="M356" i="1"/>
  <c r="M354" i="1"/>
  <c r="M353" i="1"/>
  <c r="M352" i="1"/>
  <c r="M350" i="1"/>
  <c r="M348" i="1"/>
  <c r="M340" i="1"/>
  <c r="M331" i="1"/>
  <c r="M328" i="1"/>
  <c r="M327" i="1"/>
  <c r="M321" i="1"/>
  <c r="M317" i="1"/>
  <c r="M314" i="1"/>
  <c r="M312" i="1"/>
  <c r="M310" i="1"/>
  <c r="M309" i="1"/>
  <c r="M307" i="1"/>
  <c r="M306" i="1"/>
  <c r="M305" i="1"/>
  <c r="M304" i="1"/>
  <c r="M302" i="1"/>
  <c r="M300" i="1"/>
  <c r="M296" i="1"/>
  <c r="M294" i="1"/>
  <c r="M291" i="1"/>
  <c r="M288" i="1"/>
  <c r="M283" i="1"/>
  <c r="M275" i="1"/>
  <c r="M269" i="1"/>
  <c r="M266" i="1"/>
  <c r="M260" i="1"/>
  <c r="M259" i="1"/>
  <c r="M255" i="1"/>
  <c r="M254" i="1"/>
  <c r="M252" i="1"/>
  <c r="M251" i="1"/>
  <c r="M250" i="1"/>
  <c r="M249" i="1"/>
  <c r="M248" i="1"/>
  <c r="M242" i="1"/>
  <c r="M236" i="1"/>
  <c r="M235" i="1"/>
  <c r="M230" i="1"/>
  <c r="M229" i="1"/>
  <c r="M228" i="1"/>
  <c r="M227" i="1"/>
  <c r="M226" i="1"/>
  <c r="M224" i="1"/>
  <c r="M223" i="1"/>
  <c r="M215" i="1"/>
  <c r="M212" i="1"/>
  <c r="M211" i="1"/>
  <c r="M198" i="1"/>
  <c r="M196" i="1"/>
  <c r="M194" i="1"/>
  <c r="M193" i="1"/>
  <c r="M190" i="1"/>
  <c r="M189" i="1"/>
  <c r="M188" i="1"/>
  <c r="M186" i="1"/>
  <c r="M185" i="1"/>
  <c r="M183" i="1"/>
  <c r="M182" i="1"/>
  <c r="M181" i="1"/>
  <c r="M179" i="1"/>
  <c r="M176" i="1"/>
  <c r="M174" i="1"/>
  <c r="M172" i="1"/>
  <c r="M163" i="1"/>
  <c r="M161" i="1"/>
  <c r="M159" i="1"/>
  <c r="M153" i="1"/>
  <c r="M151" i="1"/>
  <c r="M148" i="1"/>
  <c r="M147" i="1"/>
  <c r="M146" i="1"/>
  <c r="M143" i="1"/>
  <c r="M140" i="1"/>
  <c r="M138" i="1"/>
  <c r="M134" i="1"/>
  <c r="M132" i="1"/>
  <c r="M131" i="1"/>
  <c r="M128" i="1"/>
  <c r="M126" i="1"/>
  <c r="M125" i="1"/>
  <c r="M122" i="1"/>
  <c r="M120" i="1"/>
  <c r="M119" i="1"/>
  <c r="M115" i="1"/>
  <c r="M113" i="1"/>
  <c r="M112" i="1"/>
  <c r="M111" i="1"/>
  <c r="M110" i="1"/>
  <c r="M109" i="1"/>
  <c r="M107" i="1"/>
  <c r="M106" i="1"/>
  <c r="M105" i="1"/>
  <c r="M103" i="1"/>
  <c r="M102" i="1"/>
  <c r="M99" i="1"/>
  <c r="M98" i="1"/>
  <c r="M97" i="1"/>
  <c r="M95" i="1"/>
  <c r="M87" i="1"/>
  <c r="M82" i="1"/>
  <c r="M80" i="1"/>
  <c r="M76" i="1"/>
  <c r="M75" i="1"/>
  <c r="M74" i="1"/>
  <c r="M71" i="1"/>
  <c r="M62" i="1"/>
  <c r="M61" i="1"/>
  <c r="M57" i="1"/>
  <c r="M53" i="1"/>
  <c r="M52" i="1"/>
  <c r="M51" i="1"/>
  <c r="M50" i="1"/>
  <c r="M48" i="1"/>
  <c r="M47" i="1"/>
  <c r="M45" i="1"/>
  <c r="M44" i="1"/>
  <c r="M42" i="1"/>
  <c r="M40" i="1"/>
  <c r="M39" i="1"/>
  <c r="M36" i="1"/>
  <c r="M35" i="1"/>
  <c r="M34" i="1"/>
  <c r="M32" i="1"/>
  <c r="M31" i="1"/>
  <c r="M29" i="1"/>
  <c r="M28" i="1"/>
  <c r="M27" i="1"/>
  <c r="M24" i="1"/>
  <c r="M23" i="1"/>
  <c r="M22" i="1"/>
  <c r="M21" i="1"/>
  <c r="M20" i="1"/>
  <c r="M19" i="1"/>
  <c r="M18" i="1"/>
  <c r="M16" i="1"/>
  <c r="M13" i="1"/>
  <c r="M12" i="1"/>
  <c r="M11" i="1"/>
  <c r="M10" i="1"/>
  <c r="M9" i="1"/>
  <c r="M7" i="1"/>
  <c r="M5" i="1"/>
  <c r="M3" i="1"/>
  <c r="I1" i="1"/>
  <c r="B3" i="1" s="1"/>
  <c r="M1" i="1" l="1"/>
  <c r="B451" i="1"/>
  <c r="E451" i="1" s="1"/>
  <c r="L451" i="1" s="1"/>
  <c r="B41" i="1"/>
  <c r="E41" i="1" s="1"/>
  <c r="L41" i="1" s="1"/>
  <c r="B85" i="1"/>
  <c r="E85" i="1" s="1"/>
  <c r="L85" i="1" s="1"/>
  <c r="B136" i="1"/>
  <c r="E136" i="1" s="1"/>
  <c r="L136" i="1" s="1"/>
  <c r="B199" i="1"/>
  <c r="E199" i="1" s="1"/>
  <c r="L199" i="1" s="1"/>
  <c r="B234" i="1"/>
  <c r="E234" i="1" s="1"/>
  <c r="L234" i="1" s="1"/>
  <c r="B274" i="1"/>
  <c r="E274" i="1" s="1"/>
  <c r="L274" i="1" s="1"/>
  <c r="B315" i="1"/>
  <c r="E315" i="1" s="1"/>
  <c r="L315" i="1" s="1"/>
  <c r="B347" i="1"/>
  <c r="E347" i="1" s="1"/>
  <c r="L347" i="1" s="1"/>
  <c r="B373" i="1"/>
  <c r="E373" i="1" s="1"/>
  <c r="L373" i="1" s="1"/>
  <c r="B422" i="1"/>
  <c r="E422" i="1" s="1"/>
  <c r="L422" i="1" s="1"/>
  <c r="B467" i="1"/>
  <c r="E467" i="1" s="1"/>
  <c r="L467" i="1" s="1"/>
  <c r="B8" i="1"/>
  <c r="E8" i="1" s="1"/>
  <c r="L8" i="1" s="1"/>
  <c r="B86" i="1"/>
  <c r="E86" i="1" s="1"/>
  <c r="L86" i="1" s="1"/>
  <c r="B213" i="1"/>
  <c r="E213" i="1" s="1"/>
  <c r="L213" i="1" s="1"/>
  <c r="B293" i="1"/>
  <c r="E293" i="1" s="1"/>
  <c r="L293" i="1" s="1"/>
  <c r="B361" i="1"/>
  <c r="E361" i="1" s="1"/>
  <c r="L361" i="1" s="1"/>
  <c r="B402" i="1"/>
  <c r="E402" i="1" s="1"/>
  <c r="L402" i="1" s="1"/>
  <c r="B471" i="1"/>
  <c r="E471" i="1" s="1"/>
  <c r="L471" i="1" s="1"/>
  <c r="B70" i="1"/>
  <c r="E70" i="1" s="1"/>
  <c r="L70" i="1" s="1"/>
  <c r="B145" i="1"/>
  <c r="E145" i="1" s="1"/>
  <c r="L145" i="1" s="1"/>
  <c r="B218" i="1"/>
  <c r="E218" i="1" s="1"/>
  <c r="L218" i="1" s="1"/>
  <c r="B277" i="1"/>
  <c r="E277" i="1" s="1"/>
  <c r="L277" i="1" s="1"/>
  <c r="B322" i="1"/>
  <c r="E322" i="1" s="1"/>
  <c r="L322" i="1" s="1"/>
  <c r="B405" i="1"/>
  <c r="E405" i="1" s="1"/>
  <c r="L405" i="1" s="1"/>
  <c r="B472" i="1"/>
  <c r="E472" i="1" s="1"/>
  <c r="L472" i="1" s="1"/>
  <c r="B15" i="1"/>
  <c r="E15" i="1" s="1"/>
  <c r="L15" i="1" s="1"/>
  <c r="B121" i="1"/>
  <c r="E121" i="1" s="1"/>
  <c r="L121" i="1" s="1"/>
  <c r="B202" i="1"/>
  <c r="E202" i="1" s="1"/>
  <c r="L202" i="1" s="1"/>
  <c r="B264" i="1"/>
  <c r="E264" i="1" s="1"/>
  <c r="L264" i="1" s="1"/>
  <c r="B323" i="1"/>
  <c r="E323" i="1" s="1"/>
  <c r="L323" i="1" s="1"/>
  <c r="B386" i="1"/>
  <c r="E386" i="1" s="1"/>
  <c r="L386" i="1" s="1"/>
  <c r="B473" i="1"/>
  <c r="E473" i="1" s="1"/>
  <c r="L473" i="1" s="1"/>
  <c r="B73" i="1"/>
  <c r="E73" i="1" s="1"/>
  <c r="L73" i="1" s="1"/>
  <c r="B129" i="1"/>
  <c r="E129" i="1" s="1"/>
  <c r="L129" i="1" s="1"/>
  <c r="B203" i="1"/>
  <c r="E203" i="1" s="1"/>
  <c r="L203" i="1" s="1"/>
  <c r="B298" i="1"/>
  <c r="E298" i="1" s="1"/>
  <c r="L298" i="1" s="1"/>
  <c r="B462" i="1"/>
  <c r="E462" i="1" s="1"/>
  <c r="L462" i="1" s="1"/>
  <c r="B25" i="1"/>
  <c r="E25" i="1" s="1"/>
  <c r="L25" i="1" s="1"/>
  <c r="B60" i="1"/>
  <c r="E60" i="1" s="1"/>
  <c r="L60" i="1" s="1"/>
  <c r="B81" i="1"/>
  <c r="E81" i="1" s="1"/>
  <c r="L81" i="1" s="1"/>
  <c r="B94" i="1"/>
  <c r="E94" i="1" s="1"/>
  <c r="L94" i="1" s="1"/>
  <c r="B130" i="1"/>
  <c r="E130" i="1" s="1"/>
  <c r="L130" i="1" s="1"/>
  <c r="B156" i="1"/>
  <c r="E156" i="1" s="1"/>
  <c r="L156" i="1" s="1"/>
  <c r="B180" i="1"/>
  <c r="E180" i="1" s="1"/>
  <c r="L180" i="1" s="1"/>
  <c r="B207" i="1"/>
  <c r="E207" i="1" s="1"/>
  <c r="L207" i="1" s="1"/>
  <c r="B221" i="1"/>
  <c r="E221" i="1" s="1"/>
  <c r="L221" i="1" s="1"/>
  <c r="B246" i="1"/>
  <c r="E246" i="1" s="1"/>
  <c r="L246" i="1" s="1"/>
  <c r="B267" i="1"/>
  <c r="E267" i="1" s="1"/>
  <c r="L267" i="1" s="1"/>
  <c r="B284" i="1"/>
  <c r="E284" i="1" s="1"/>
  <c r="L284" i="1" s="1"/>
  <c r="B308" i="1"/>
  <c r="E308" i="1" s="1"/>
  <c r="L308" i="1" s="1"/>
  <c r="B325" i="1"/>
  <c r="E325" i="1" s="1"/>
  <c r="L325" i="1" s="1"/>
  <c r="B344" i="1"/>
  <c r="E344" i="1" s="1"/>
  <c r="L344" i="1" s="1"/>
  <c r="B366" i="1"/>
  <c r="E366" i="1" s="1"/>
  <c r="L366" i="1" s="1"/>
  <c r="B392" i="1"/>
  <c r="E392" i="1" s="1"/>
  <c r="L392" i="1" s="1"/>
  <c r="B419" i="1"/>
  <c r="E419" i="1" s="1"/>
  <c r="L419" i="1" s="1"/>
  <c r="B441" i="1"/>
  <c r="E441" i="1" s="1"/>
  <c r="L441" i="1" s="1"/>
  <c r="B464" i="1"/>
  <c r="E464" i="1" s="1"/>
  <c r="L464" i="1" s="1"/>
  <c r="B480" i="1"/>
  <c r="E480" i="1" s="1"/>
  <c r="L480" i="1" s="1"/>
  <c r="B520" i="1"/>
  <c r="E520" i="1" s="1"/>
  <c r="L520" i="1" s="1"/>
  <c r="B43" i="1"/>
  <c r="E43" i="1" s="1"/>
  <c r="L43" i="1" s="1"/>
  <c r="B144" i="1"/>
  <c r="E144" i="1" s="1"/>
  <c r="L144" i="1" s="1"/>
  <c r="B200" i="1"/>
  <c r="E200" i="1" s="1"/>
  <c r="L200" i="1" s="1"/>
  <c r="B262" i="1"/>
  <c r="E262" i="1" s="1"/>
  <c r="L262" i="1" s="1"/>
  <c r="B316" i="1"/>
  <c r="E316" i="1" s="1"/>
  <c r="L316" i="1" s="1"/>
  <c r="B375" i="1"/>
  <c r="E375" i="1" s="1"/>
  <c r="L375" i="1" s="1"/>
  <c r="B424" i="1"/>
  <c r="E424" i="1" s="1"/>
  <c r="L424" i="1" s="1"/>
  <c r="B507" i="1"/>
  <c r="E507" i="1" s="1"/>
  <c r="L507" i="1" s="1"/>
  <c r="B46" i="1"/>
  <c r="E46" i="1" s="1"/>
  <c r="L46" i="1" s="1"/>
  <c r="B91" i="1"/>
  <c r="E91" i="1" s="1"/>
  <c r="L91" i="1" s="1"/>
  <c r="B169" i="1"/>
  <c r="E169" i="1" s="1"/>
  <c r="L169" i="1" s="1"/>
  <c r="B238" i="1"/>
  <c r="E238" i="1" s="1"/>
  <c r="L238" i="1" s="1"/>
  <c r="B295" i="1"/>
  <c r="E295" i="1" s="1"/>
  <c r="L295" i="1" s="1"/>
  <c r="B336" i="1"/>
  <c r="E336" i="1" s="1"/>
  <c r="L336" i="1" s="1"/>
  <c r="B376" i="1"/>
  <c r="E376" i="1" s="1"/>
  <c r="L376" i="1" s="1"/>
  <c r="B437" i="1"/>
  <c r="E437" i="1" s="1"/>
  <c r="L437" i="1" s="1"/>
  <c r="B509" i="1"/>
  <c r="E509" i="1" s="1"/>
  <c r="L509" i="1" s="1"/>
  <c r="B72" i="1"/>
  <c r="E72" i="1" s="1"/>
  <c r="L72" i="1" s="1"/>
  <c r="B149" i="1"/>
  <c r="E149" i="1" s="1"/>
  <c r="L149" i="1" s="1"/>
  <c r="B239" i="1"/>
  <c r="E239" i="1" s="1"/>
  <c r="L239" i="1" s="1"/>
  <c r="B297" i="1"/>
  <c r="E297" i="1" s="1"/>
  <c r="L297" i="1" s="1"/>
  <c r="B458" i="1"/>
  <c r="E458" i="1" s="1"/>
  <c r="L458" i="1" s="1"/>
  <c r="B58" i="1"/>
  <c r="E58" i="1" s="1"/>
  <c r="L58" i="1" s="1"/>
  <c r="B178" i="1"/>
  <c r="E178" i="1" s="1"/>
  <c r="L178" i="1" s="1"/>
  <c r="B245" i="1"/>
  <c r="E245" i="1" s="1"/>
  <c r="L245" i="1" s="1"/>
  <c r="B265" i="1"/>
  <c r="E265" i="1" s="1"/>
  <c r="L265" i="1" s="1"/>
  <c r="B324" i="1"/>
  <c r="E324" i="1" s="1"/>
  <c r="L324" i="1" s="1"/>
  <c r="B365" i="1"/>
  <c r="E365" i="1" s="1"/>
  <c r="L365" i="1" s="1"/>
  <c r="B391" i="1"/>
  <c r="E391" i="1" s="1"/>
  <c r="L391" i="1" s="1"/>
  <c r="B410" i="1"/>
  <c r="E410" i="1" s="1"/>
  <c r="L410" i="1" s="1"/>
  <c r="B439" i="1"/>
  <c r="E439" i="1" s="1"/>
  <c r="L439" i="1" s="1"/>
  <c r="B519" i="1"/>
  <c r="E519" i="1" s="1"/>
  <c r="L519" i="1" s="1"/>
  <c r="B37" i="1"/>
  <c r="E37" i="1" s="1"/>
  <c r="L37" i="1" s="1"/>
  <c r="B63" i="1"/>
  <c r="E63" i="1" s="1"/>
  <c r="L63" i="1" s="1"/>
  <c r="B83" i="1"/>
  <c r="E83" i="1" s="1"/>
  <c r="L83" i="1" s="1"/>
  <c r="B96" i="1"/>
  <c r="E96" i="1" s="1"/>
  <c r="L96" i="1" s="1"/>
  <c r="B133" i="1"/>
  <c r="E133" i="1" s="1"/>
  <c r="L133" i="1" s="1"/>
  <c r="B165" i="1"/>
  <c r="E165" i="1" s="1"/>
  <c r="L165" i="1" s="1"/>
  <c r="B184" i="1"/>
  <c r="E184" i="1" s="1"/>
  <c r="L184" i="1" s="1"/>
  <c r="B208" i="1"/>
  <c r="E208" i="1" s="1"/>
  <c r="L208" i="1" s="1"/>
  <c r="B222" i="1"/>
  <c r="E222" i="1" s="1"/>
  <c r="L222" i="1" s="1"/>
  <c r="B247" i="1"/>
  <c r="E247" i="1" s="1"/>
  <c r="L247" i="1" s="1"/>
  <c r="B272" i="1"/>
  <c r="E272" i="1" s="1"/>
  <c r="L272" i="1" s="1"/>
  <c r="B285" i="1"/>
  <c r="E285" i="1" s="1"/>
  <c r="L285" i="1" s="1"/>
  <c r="B311" i="1"/>
  <c r="E311" i="1" s="1"/>
  <c r="L311" i="1" s="1"/>
  <c r="B326" i="1"/>
  <c r="E326" i="1" s="1"/>
  <c r="L326" i="1" s="1"/>
  <c r="B345" i="1"/>
  <c r="E345" i="1" s="1"/>
  <c r="L345" i="1" s="1"/>
  <c r="B370" i="1"/>
  <c r="E370" i="1" s="1"/>
  <c r="L370" i="1" s="1"/>
  <c r="B393" i="1"/>
  <c r="E393" i="1" s="1"/>
  <c r="L393" i="1" s="1"/>
  <c r="B420" i="1"/>
  <c r="E420" i="1" s="1"/>
  <c r="L420" i="1" s="1"/>
  <c r="B446" i="1"/>
  <c r="E446" i="1" s="1"/>
  <c r="L446" i="1" s="1"/>
  <c r="B465" i="1"/>
  <c r="E465" i="1" s="1"/>
  <c r="L465" i="1" s="1"/>
  <c r="B495" i="1"/>
  <c r="E495" i="1" s="1"/>
  <c r="L495" i="1" s="1"/>
  <c r="B525" i="1"/>
  <c r="E525" i="1" s="1"/>
  <c r="L525" i="1" s="1"/>
  <c r="B68" i="1"/>
  <c r="E68" i="1" s="1"/>
  <c r="L68" i="1" s="1"/>
  <c r="B116" i="1"/>
  <c r="E116" i="1" s="1"/>
  <c r="L116" i="1" s="1"/>
  <c r="B167" i="1"/>
  <c r="E167" i="1" s="1"/>
  <c r="L167" i="1" s="1"/>
  <c r="B210" i="1"/>
  <c r="E210" i="1" s="1"/>
  <c r="L210" i="1" s="1"/>
  <c r="B256" i="1"/>
  <c r="E256" i="1" s="1"/>
  <c r="L256" i="1" s="1"/>
  <c r="B292" i="1"/>
  <c r="E292" i="1" s="1"/>
  <c r="L292" i="1" s="1"/>
  <c r="B334" i="1"/>
  <c r="E334" i="1" s="1"/>
  <c r="L334" i="1" s="1"/>
  <c r="B399" i="1"/>
  <c r="E399" i="1" s="1"/>
  <c r="L399" i="1" s="1"/>
  <c r="B506" i="1"/>
  <c r="E506" i="1" s="1"/>
  <c r="L506" i="1" s="1"/>
  <c r="B69" i="1"/>
  <c r="E69" i="1" s="1"/>
  <c r="L69" i="1" s="1"/>
  <c r="B117" i="1"/>
  <c r="E117" i="1" s="1"/>
  <c r="L117" i="1" s="1"/>
  <c r="B168" i="1"/>
  <c r="E168" i="1" s="1"/>
  <c r="L168" i="1" s="1"/>
  <c r="B237" i="1"/>
  <c r="E237" i="1" s="1"/>
  <c r="L237" i="1" s="1"/>
  <c r="B276" i="1"/>
  <c r="E276" i="1" s="1"/>
  <c r="L276" i="1" s="1"/>
  <c r="B335" i="1"/>
  <c r="E335" i="1" s="1"/>
  <c r="L335" i="1" s="1"/>
  <c r="B455" i="1"/>
  <c r="E455" i="1" s="1"/>
  <c r="L455" i="1" s="1"/>
  <c r="B14" i="1"/>
  <c r="E14" i="1" s="1"/>
  <c r="L14" i="1" s="1"/>
  <c r="B118" i="1"/>
  <c r="E118" i="1" s="1"/>
  <c r="L118" i="1" s="1"/>
  <c r="B201" i="1"/>
  <c r="E201" i="1" s="1"/>
  <c r="L201" i="1" s="1"/>
  <c r="B263" i="1"/>
  <c r="E263" i="1" s="1"/>
  <c r="L263" i="1" s="1"/>
  <c r="B362" i="1"/>
  <c r="E362" i="1" s="1"/>
  <c r="L362" i="1" s="1"/>
  <c r="B457" i="1"/>
  <c r="E457" i="1" s="1"/>
  <c r="L457" i="1" s="1"/>
  <c r="B56" i="1"/>
  <c r="E56" i="1" s="1"/>
  <c r="L56" i="1" s="1"/>
  <c r="B92" i="1"/>
  <c r="E92" i="1" s="1"/>
  <c r="L92" i="1" s="1"/>
  <c r="B177" i="1"/>
  <c r="E177" i="1" s="1"/>
  <c r="L177" i="1" s="1"/>
  <c r="B219" i="1"/>
  <c r="E219" i="1" s="1"/>
  <c r="L219" i="1" s="1"/>
  <c r="B281" i="1"/>
  <c r="E281" i="1" s="1"/>
  <c r="L281" i="1" s="1"/>
  <c r="B337" i="1"/>
  <c r="E337" i="1" s="1"/>
  <c r="L337" i="1" s="1"/>
  <c r="B364" i="1"/>
  <c r="E364" i="1" s="1"/>
  <c r="L364" i="1" s="1"/>
  <c r="B407" i="1"/>
  <c r="E407" i="1" s="1"/>
  <c r="L407" i="1" s="1"/>
  <c r="B438" i="1"/>
  <c r="E438" i="1" s="1"/>
  <c r="L438" i="1" s="1"/>
  <c r="B518" i="1"/>
  <c r="E518" i="1" s="1"/>
  <c r="L518" i="1" s="1"/>
  <c r="B17" i="1"/>
  <c r="E17" i="1" s="1"/>
  <c r="L17" i="1" s="1"/>
  <c r="B93" i="1"/>
  <c r="E93" i="1" s="1"/>
  <c r="L93" i="1" s="1"/>
  <c r="B152" i="1"/>
  <c r="E152" i="1" s="1"/>
  <c r="L152" i="1" s="1"/>
  <c r="B220" i="1"/>
  <c r="E220" i="1" s="1"/>
  <c r="L220" i="1" s="1"/>
  <c r="B282" i="1"/>
  <c r="E282" i="1" s="1"/>
  <c r="L282" i="1" s="1"/>
  <c r="B343" i="1"/>
  <c r="E343" i="1" s="1"/>
  <c r="L343" i="1" s="1"/>
  <c r="B475" i="1"/>
  <c r="E475" i="1" s="1"/>
  <c r="L475" i="1" s="1"/>
  <c r="B38" i="1"/>
  <c r="E38" i="1" s="1"/>
  <c r="L38" i="1" s="1"/>
  <c r="B64" i="1"/>
  <c r="E64" i="1" s="1"/>
  <c r="L64" i="1" s="1"/>
  <c r="B84" i="1"/>
  <c r="E84" i="1" s="1"/>
  <c r="L84" i="1" s="1"/>
  <c r="B114" i="1"/>
  <c r="E114" i="1" s="1"/>
  <c r="L114" i="1" s="1"/>
  <c r="B135" i="1"/>
  <c r="E135" i="1" s="1"/>
  <c r="L135" i="1" s="1"/>
  <c r="B166" i="1"/>
  <c r="E166" i="1" s="1"/>
  <c r="L166" i="1" s="1"/>
  <c r="B191" i="1"/>
  <c r="E191" i="1" s="1"/>
  <c r="L191" i="1" s="1"/>
  <c r="B209" i="1"/>
  <c r="E209" i="1" s="1"/>
  <c r="L209" i="1" s="1"/>
  <c r="B233" i="1"/>
  <c r="E233" i="1" s="1"/>
  <c r="L233" i="1" s="1"/>
  <c r="B253" i="1"/>
  <c r="E253" i="1" s="1"/>
  <c r="L253" i="1" s="1"/>
  <c r="B273" i="1"/>
  <c r="E273" i="1" s="1"/>
  <c r="L273" i="1" s="1"/>
  <c r="B286" i="1"/>
  <c r="E286" i="1" s="1"/>
  <c r="L286" i="1" s="1"/>
  <c r="B313" i="1"/>
  <c r="E313" i="1" s="1"/>
  <c r="L313" i="1" s="1"/>
  <c r="B333" i="1"/>
  <c r="E333" i="1" s="1"/>
  <c r="L333" i="1" s="1"/>
  <c r="B346" i="1"/>
  <c r="E346" i="1" s="1"/>
  <c r="L346" i="1" s="1"/>
  <c r="B371" i="1"/>
  <c r="E371" i="1" s="1"/>
  <c r="L371" i="1" s="1"/>
  <c r="B394" i="1"/>
  <c r="E394" i="1" s="1"/>
  <c r="L394" i="1" s="1"/>
  <c r="B421" i="1"/>
  <c r="E421" i="1" s="1"/>
  <c r="L421" i="1" s="1"/>
  <c r="B450" i="1"/>
  <c r="E450" i="1" s="1"/>
  <c r="L450" i="1" s="1"/>
  <c r="B466" i="1"/>
  <c r="E466" i="1" s="1"/>
  <c r="L466" i="1" s="1"/>
  <c r="B496" i="1"/>
  <c r="E496" i="1" s="1"/>
  <c r="L496" i="1" s="1"/>
  <c r="B530" i="1"/>
  <c r="E530" i="1" s="1"/>
  <c r="L530" i="1" s="1"/>
  <c r="B26" i="1"/>
  <c r="E26" i="1" s="1"/>
  <c r="L26" i="1" s="1"/>
  <c r="B49" i="1"/>
  <c r="E49" i="1" s="1"/>
  <c r="L49" i="1" s="1"/>
  <c r="B65" i="1"/>
  <c r="E65" i="1" s="1"/>
  <c r="L65" i="1" s="1"/>
  <c r="B77" i="1"/>
  <c r="E77" i="1" s="1"/>
  <c r="L77" i="1" s="1"/>
  <c r="B88" i="1"/>
  <c r="E88" i="1" s="1"/>
  <c r="L88" i="1" s="1"/>
  <c r="B101" i="1"/>
  <c r="E101" i="1" s="1"/>
  <c r="L101" i="1" s="1"/>
  <c r="B123" i="1"/>
  <c r="E123" i="1" s="1"/>
  <c r="L123" i="1" s="1"/>
  <c r="B139" i="1"/>
  <c r="E139" i="1" s="1"/>
  <c r="L139" i="1" s="1"/>
  <c r="B158" i="1"/>
  <c r="E158" i="1" s="1"/>
  <c r="L158" i="1" s="1"/>
  <c r="B170" i="1"/>
  <c r="E170" i="1" s="1"/>
  <c r="L170" i="1" s="1"/>
  <c r="B192" i="1"/>
  <c r="E192" i="1" s="1"/>
  <c r="L192" i="1" s="1"/>
  <c r="B204" i="1"/>
  <c r="E204" i="1" s="1"/>
  <c r="L204" i="1" s="1"/>
  <c r="B214" i="1"/>
  <c r="E214" i="1" s="1"/>
  <c r="L214" i="1" s="1"/>
  <c r="B225" i="1"/>
  <c r="E225" i="1" s="1"/>
  <c r="L225" i="1" s="1"/>
  <c r="B241" i="1"/>
  <c r="E241" i="1" s="1"/>
  <c r="L241" i="1" s="1"/>
  <c r="B257" i="1"/>
  <c r="E257" i="1" s="1"/>
  <c r="L257" i="1" s="1"/>
  <c r="B268" i="1"/>
  <c r="E268" i="1" s="1"/>
  <c r="L268" i="1" s="1"/>
  <c r="B278" i="1"/>
  <c r="E278" i="1" s="1"/>
  <c r="L278" i="1" s="1"/>
  <c r="B287" i="1"/>
  <c r="E287" i="1" s="1"/>
  <c r="L287" i="1" s="1"/>
  <c r="B299" i="1"/>
  <c r="E299" i="1" s="1"/>
  <c r="L299" i="1" s="1"/>
  <c r="B318" i="1"/>
  <c r="E318" i="1" s="1"/>
  <c r="L318" i="1" s="1"/>
  <c r="B329" i="1"/>
  <c r="E329" i="1" s="1"/>
  <c r="L329" i="1" s="1"/>
  <c r="B338" i="1"/>
  <c r="E338" i="1" s="1"/>
  <c r="L338" i="1" s="1"/>
  <c r="B349" i="1"/>
  <c r="E349" i="1" s="1"/>
  <c r="L349" i="1" s="1"/>
  <c r="B367" i="1"/>
  <c r="E367" i="1" s="1"/>
  <c r="L367" i="1" s="1"/>
  <c r="B379" i="1"/>
  <c r="E379" i="1" s="1"/>
  <c r="L379" i="1" s="1"/>
  <c r="B395" i="1"/>
  <c r="E395" i="1" s="1"/>
  <c r="L395" i="1" s="1"/>
  <c r="B416" i="1"/>
  <c r="E416" i="1" s="1"/>
  <c r="L416" i="1" s="1"/>
  <c r="B425" i="1"/>
  <c r="E425" i="1" s="1"/>
  <c r="L425" i="1" s="1"/>
  <c r="B447" i="1"/>
  <c r="E447" i="1" s="1"/>
  <c r="L447" i="1" s="1"/>
  <c r="B459" i="1"/>
  <c r="E459" i="1" s="1"/>
  <c r="L459" i="1" s="1"/>
  <c r="B468" i="1"/>
  <c r="E468" i="1" s="1"/>
  <c r="L468" i="1" s="1"/>
  <c r="B487" i="1"/>
  <c r="E487" i="1" s="1"/>
  <c r="L487" i="1" s="1"/>
  <c r="B510" i="1"/>
  <c r="E510" i="1" s="1"/>
  <c r="L510" i="1" s="1"/>
  <c r="B532" i="1"/>
  <c r="E532" i="1" s="1"/>
  <c r="L532" i="1" s="1"/>
  <c r="B30" i="1"/>
  <c r="E30" i="1" s="1"/>
  <c r="L30" i="1" s="1"/>
  <c r="B54" i="1"/>
  <c r="E54" i="1" s="1"/>
  <c r="L54" i="1" s="1"/>
  <c r="B66" i="1"/>
  <c r="E66" i="1" s="1"/>
  <c r="L66" i="1" s="1"/>
  <c r="B78" i="1"/>
  <c r="E78" i="1" s="1"/>
  <c r="L78" i="1" s="1"/>
  <c r="B89" i="1"/>
  <c r="E89" i="1" s="1"/>
  <c r="L89" i="1" s="1"/>
  <c r="B104" i="1"/>
  <c r="E104" i="1" s="1"/>
  <c r="L104" i="1" s="1"/>
  <c r="B124" i="1"/>
  <c r="E124" i="1" s="1"/>
  <c r="L124" i="1" s="1"/>
  <c r="B141" i="1"/>
  <c r="E141" i="1" s="1"/>
  <c r="L141" i="1" s="1"/>
  <c r="B162" i="1"/>
  <c r="E162" i="1" s="1"/>
  <c r="L162" i="1" s="1"/>
  <c r="B171" i="1"/>
  <c r="E171" i="1" s="1"/>
  <c r="L171" i="1" s="1"/>
  <c r="B195" i="1"/>
  <c r="E195" i="1" s="1"/>
  <c r="L195" i="1" s="1"/>
  <c r="B205" i="1"/>
  <c r="E205" i="1" s="1"/>
  <c r="L205" i="1" s="1"/>
  <c r="B216" i="1"/>
  <c r="E216" i="1" s="1"/>
  <c r="L216" i="1" s="1"/>
  <c r="B231" i="1"/>
  <c r="E231" i="1" s="1"/>
  <c r="L231" i="1" s="1"/>
  <c r="B243" i="1"/>
  <c r="E243" i="1" s="1"/>
  <c r="L243" i="1" s="1"/>
  <c r="B258" i="1"/>
  <c r="E258" i="1" s="1"/>
  <c r="L258" i="1" s="1"/>
  <c r="B270" i="1"/>
  <c r="E270" i="1" s="1"/>
  <c r="L270" i="1" s="1"/>
  <c r="B279" i="1"/>
  <c r="E279" i="1" s="1"/>
  <c r="L279" i="1" s="1"/>
  <c r="B289" i="1"/>
  <c r="E289" i="1" s="1"/>
  <c r="L289" i="1" s="1"/>
  <c r="B301" i="1"/>
  <c r="E301" i="1" s="1"/>
  <c r="L301" i="1" s="1"/>
  <c r="B319" i="1"/>
  <c r="E319" i="1" s="1"/>
  <c r="L319" i="1" s="1"/>
  <c r="B330" i="1"/>
  <c r="E330" i="1" s="1"/>
  <c r="L330" i="1" s="1"/>
  <c r="B339" i="1"/>
  <c r="E339" i="1" s="1"/>
  <c r="L339" i="1" s="1"/>
  <c r="B351" i="1"/>
  <c r="E351" i="1" s="1"/>
  <c r="L351" i="1" s="1"/>
  <c r="B368" i="1"/>
  <c r="E368" i="1" s="1"/>
  <c r="L368" i="1" s="1"/>
  <c r="B381" i="1"/>
  <c r="E381" i="1" s="1"/>
  <c r="L381" i="1" s="1"/>
  <c r="B396" i="1"/>
  <c r="E396" i="1" s="1"/>
  <c r="L396" i="1" s="1"/>
  <c r="B417" i="1"/>
  <c r="E417" i="1" s="1"/>
  <c r="L417" i="1" s="1"/>
  <c r="B427" i="1"/>
  <c r="E427" i="1" s="1"/>
  <c r="L427" i="1" s="1"/>
  <c r="B448" i="1"/>
  <c r="E448" i="1" s="1"/>
  <c r="L448" i="1" s="1"/>
  <c r="B460" i="1"/>
  <c r="E460" i="1" s="1"/>
  <c r="L460" i="1" s="1"/>
  <c r="B469" i="1"/>
  <c r="E469" i="1" s="1"/>
  <c r="L469" i="1" s="1"/>
  <c r="B489" i="1"/>
  <c r="E489" i="1" s="1"/>
  <c r="L489" i="1" s="1"/>
  <c r="B512" i="1"/>
  <c r="E512" i="1" s="1"/>
  <c r="L512" i="1" s="1"/>
  <c r="B534" i="1"/>
  <c r="E534" i="1" s="1"/>
  <c r="L534" i="1" s="1"/>
  <c r="B6" i="1"/>
  <c r="E6" i="1" s="1"/>
  <c r="L6" i="1" s="1"/>
  <c r="B33" i="1"/>
  <c r="E33" i="1" s="1"/>
  <c r="L33" i="1" s="1"/>
  <c r="B55" i="1"/>
  <c r="E55" i="1" s="1"/>
  <c r="L55" i="1" s="1"/>
  <c r="B67" i="1"/>
  <c r="E67" i="1" s="1"/>
  <c r="L67" i="1" s="1"/>
  <c r="B79" i="1"/>
  <c r="E79" i="1" s="1"/>
  <c r="L79" i="1" s="1"/>
  <c r="B90" i="1"/>
  <c r="E90" i="1" s="1"/>
  <c r="L90" i="1" s="1"/>
  <c r="B108" i="1"/>
  <c r="E108" i="1" s="1"/>
  <c r="L108" i="1" s="1"/>
  <c r="B127" i="1"/>
  <c r="E127" i="1" s="1"/>
  <c r="L127" i="1" s="1"/>
  <c r="B142" i="1"/>
  <c r="E142" i="1" s="1"/>
  <c r="L142" i="1" s="1"/>
  <c r="B164" i="1"/>
  <c r="E164" i="1" s="1"/>
  <c r="L164" i="1" s="1"/>
  <c r="B175" i="1"/>
  <c r="E175" i="1" s="1"/>
  <c r="L175" i="1" s="1"/>
  <c r="B197" i="1"/>
  <c r="E197" i="1" s="1"/>
  <c r="L197" i="1" s="1"/>
  <c r="B206" i="1"/>
  <c r="E206" i="1" s="1"/>
  <c r="L206" i="1" s="1"/>
  <c r="B217" i="1"/>
  <c r="E217" i="1" s="1"/>
  <c r="L217" i="1" s="1"/>
  <c r="B232" i="1"/>
  <c r="E232" i="1" s="1"/>
  <c r="L232" i="1" s="1"/>
  <c r="B244" i="1"/>
  <c r="E244" i="1" s="1"/>
  <c r="L244" i="1" s="1"/>
  <c r="B261" i="1"/>
  <c r="E261" i="1" s="1"/>
  <c r="L261" i="1" s="1"/>
  <c r="B271" i="1"/>
  <c r="E271" i="1" s="1"/>
  <c r="L271" i="1" s="1"/>
  <c r="B280" i="1"/>
  <c r="E280" i="1" s="1"/>
  <c r="L280" i="1" s="1"/>
  <c r="B290" i="1"/>
  <c r="E290" i="1" s="1"/>
  <c r="L290" i="1" s="1"/>
  <c r="B303" i="1"/>
  <c r="E303" i="1" s="1"/>
  <c r="L303" i="1" s="1"/>
  <c r="B320" i="1"/>
  <c r="E320" i="1" s="1"/>
  <c r="L320" i="1" s="1"/>
  <c r="B332" i="1"/>
  <c r="E332" i="1" s="1"/>
  <c r="L332" i="1" s="1"/>
  <c r="B341" i="1"/>
  <c r="E341" i="1" s="1"/>
  <c r="L341" i="1" s="1"/>
  <c r="B355" i="1"/>
  <c r="E355" i="1" s="1"/>
  <c r="L355" i="1" s="1"/>
  <c r="B369" i="1"/>
  <c r="E369" i="1" s="1"/>
  <c r="L369" i="1" s="1"/>
  <c r="B384" i="1"/>
  <c r="E384" i="1" s="1"/>
  <c r="L384" i="1" s="1"/>
  <c r="B398" i="1"/>
  <c r="E398" i="1" s="1"/>
  <c r="L398" i="1" s="1"/>
  <c r="B418" i="1"/>
  <c r="E418" i="1" s="1"/>
  <c r="L418" i="1" s="1"/>
  <c r="B428" i="1"/>
  <c r="E428" i="1" s="1"/>
  <c r="L428" i="1" s="1"/>
  <c r="B449" i="1"/>
  <c r="E449" i="1" s="1"/>
  <c r="L449" i="1" s="1"/>
  <c r="B461" i="1"/>
  <c r="E461" i="1" s="1"/>
  <c r="L461" i="1" s="1"/>
  <c r="B470" i="1"/>
  <c r="E470" i="1" s="1"/>
  <c r="L470" i="1" s="1"/>
  <c r="B494" i="1"/>
  <c r="E494" i="1" s="1"/>
  <c r="L494" i="1" s="1"/>
  <c r="B515" i="1"/>
  <c r="E515" i="1" s="1"/>
  <c r="L515" i="1" s="1"/>
  <c r="B535" i="1"/>
  <c r="E535" i="1" s="1"/>
  <c r="L535" i="1" s="1"/>
  <c r="B4" i="1"/>
  <c r="E4" i="1" s="1"/>
  <c r="L4" i="1" s="1"/>
  <c r="B516" i="1"/>
  <c r="B42" i="1"/>
  <c r="B113" i="1"/>
  <c r="B189" i="1"/>
  <c r="B288" i="1"/>
  <c r="B374" i="1"/>
  <c r="B474" i="1"/>
  <c r="B44" i="1"/>
  <c r="B115" i="1"/>
  <c r="B190" i="1"/>
  <c r="B291" i="1"/>
  <c r="B377" i="1"/>
  <c r="B476" i="1"/>
  <c r="B7" i="1"/>
  <c r="B53" i="1"/>
  <c r="B131" i="1"/>
  <c r="B215" i="1"/>
  <c r="B306" i="1"/>
  <c r="B388" i="1"/>
  <c r="B485" i="1"/>
  <c r="B57" i="1"/>
  <c r="B389" i="1"/>
  <c r="B19" i="1"/>
  <c r="B80" i="1"/>
  <c r="B148" i="1"/>
  <c r="B235" i="1"/>
  <c r="B327" i="1"/>
  <c r="B413" i="1"/>
  <c r="B501" i="1"/>
  <c r="B307" i="1"/>
  <c r="B20" i="1"/>
  <c r="B82" i="1"/>
  <c r="B151" i="1"/>
  <c r="B236" i="1"/>
  <c r="B328" i="1"/>
  <c r="B414" i="1"/>
  <c r="B502" i="1"/>
  <c r="B223" i="1"/>
  <c r="B29" i="1"/>
  <c r="B103" i="1"/>
  <c r="B176" i="1"/>
  <c r="B254" i="1"/>
  <c r="B354" i="1"/>
  <c r="B435" i="1"/>
  <c r="B9" i="1"/>
  <c r="B132" i="1"/>
  <c r="B486" i="1"/>
  <c r="B31" i="1"/>
  <c r="B105" i="1"/>
  <c r="B179" i="1"/>
  <c r="B255" i="1"/>
  <c r="B356" i="1"/>
  <c r="B436" i="1"/>
  <c r="B10" i="1"/>
  <c r="B21" i="1"/>
  <c r="B32" i="1"/>
  <c r="B45" i="1"/>
  <c r="B61" i="1"/>
  <c r="B87" i="1"/>
  <c r="B106" i="1"/>
  <c r="B119" i="1"/>
  <c r="B134" i="1"/>
  <c r="B153" i="1"/>
  <c r="B181" i="1"/>
  <c r="B193" i="1"/>
  <c r="B224" i="1"/>
  <c r="B242" i="1"/>
  <c r="B259" i="1"/>
  <c r="B294" i="1"/>
  <c r="B309" i="1"/>
  <c r="B331" i="1"/>
  <c r="B357" i="1"/>
  <c r="B378" i="1"/>
  <c r="B397" i="1"/>
  <c r="B415" i="1"/>
  <c r="B443" i="1"/>
  <c r="B477" i="1"/>
  <c r="B488" i="1"/>
  <c r="B503" i="1"/>
  <c r="B521" i="1"/>
  <c r="B11" i="1"/>
  <c r="B22" i="1"/>
  <c r="B34" i="1"/>
  <c r="B47" i="1"/>
  <c r="B62" i="1"/>
  <c r="B95" i="1"/>
  <c r="B107" i="1"/>
  <c r="B120" i="1"/>
  <c r="B138" i="1"/>
  <c r="B159" i="1"/>
  <c r="B182" i="1"/>
  <c r="B194" i="1"/>
  <c r="B226" i="1"/>
  <c r="B248" i="1"/>
  <c r="B260" i="1"/>
  <c r="B296" i="1"/>
  <c r="B310" i="1"/>
  <c r="B340" i="1"/>
  <c r="B358" i="1"/>
  <c r="B380" i="1"/>
  <c r="B400" i="1"/>
  <c r="B423" i="1"/>
  <c r="B444" i="1"/>
  <c r="B478" i="1"/>
  <c r="B491" i="1"/>
  <c r="B504" i="1"/>
  <c r="B522" i="1"/>
  <c r="B12" i="1"/>
  <c r="B23" i="1"/>
  <c r="B35" i="1"/>
  <c r="B48" i="1"/>
  <c r="B71" i="1"/>
  <c r="B97" i="1"/>
  <c r="B109" i="1"/>
  <c r="B122" i="1"/>
  <c r="B140" i="1"/>
  <c r="B161" i="1"/>
  <c r="B183" i="1"/>
  <c r="B196" i="1"/>
  <c r="B227" i="1"/>
  <c r="B249" i="1"/>
  <c r="B266" i="1"/>
  <c r="B300" i="1"/>
  <c r="B312" i="1"/>
  <c r="B348" i="1"/>
  <c r="B359" i="1"/>
  <c r="B382" i="1"/>
  <c r="B401" i="1"/>
  <c r="B426" i="1"/>
  <c r="B452" i="1"/>
  <c r="B479" i="1"/>
  <c r="B492" i="1"/>
  <c r="B505" i="1"/>
  <c r="B524" i="1"/>
  <c r="B13" i="1"/>
  <c r="B24" i="1"/>
  <c r="B36" i="1"/>
  <c r="B50" i="1"/>
  <c r="B74" i="1"/>
  <c r="B98" i="1"/>
  <c r="B110" i="1"/>
  <c r="B125" i="1"/>
  <c r="B143" i="1"/>
  <c r="B163" i="1"/>
  <c r="B185" i="1"/>
  <c r="B198" i="1"/>
  <c r="B228" i="1"/>
  <c r="B250" i="1"/>
  <c r="B269" i="1"/>
  <c r="B302" i="1"/>
  <c r="B314" i="1"/>
  <c r="B350" i="1"/>
  <c r="B360" i="1"/>
  <c r="B383" i="1"/>
  <c r="B403" i="1"/>
  <c r="B429" i="1"/>
  <c r="B453" i="1"/>
  <c r="B481" i="1"/>
  <c r="B497" i="1"/>
  <c r="B508" i="1"/>
  <c r="B526" i="1"/>
  <c r="B527" i="1"/>
  <c r="B16" i="1"/>
  <c r="B27" i="1"/>
  <c r="B39" i="1"/>
  <c r="B51" i="1"/>
  <c r="B75" i="1"/>
  <c r="B99" i="1"/>
  <c r="B111" i="1"/>
  <c r="B126" i="1"/>
  <c r="B146" i="1"/>
  <c r="B172" i="1"/>
  <c r="B186" i="1"/>
  <c r="B211" i="1"/>
  <c r="B229" i="1"/>
  <c r="B251" i="1"/>
  <c r="B275" i="1"/>
  <c r="B304" i="1"/>
  <c r="B317" i="1"/>
  <c r="B352" i="1"/>
  <c r="B363" i="1"/>
  <c r="B385" i="1"/>
  <c r="B408" i="1"/>
  <c r="B430" i="1"/>
  <c r="B454" i="1"/>
  <c r="B482" i="1"/>
  <c r="B498" i="1"/>
  <c r="B513" i="1"/>
  <c r="B5" i="1"/>
  <c r="B18" i="1"/>
  <c r="B28" i="1"/>
  <c r="B40" i="1"/>
  <c r="B52" i="1"/>
  <c r="B76" i="1"/>
  <c r="B102" i="1"/>
  <c r="B112" i="1"/>
  <c r="B128" i="1"/>
  <c r="B147" i="1"/>
  <c r="B174" i="1"/>
  <c r="B188" i="1"/>
  <c r="B212" i="1"/>
  <c r="B230" i="1"/>
  <c r="B252" i="1"/>
  <c r="B283" i="1"/>
  <c r="B305" i="1"/>
  <c r="B321" i="1"/>
  <c r="B353" i="1"/>
  <c r="B372" i="1"/>
  <c r="B387" i="1"/>
  <c r="B409" i="1"/>
  <c r="B434" i="1"/>
  <c r="B463" i="1"/>
  <c r="B484" i="1"/>
  <c r="B500" i="1"/>
  <c r="B514" i="1"/>
  <c r="B529" i="1"/>
  <c r="L1" i="1" l="1"/>
</calcChain>
</file>

<file path=xl/sharedStrings.xml><?xml version="1.0" encoding="utf-8"?>
<sst xmlns="http://schemas.openxmlformats.org/spreadsheetml/2006/main" count="5367" uniqueCount="1206">
  <si>
    <t>TITULO</t>
  </si>
  <si>
    <t>EM_PODER</t>
  </si>
  <si>
    <t>PLANO</t>
  </si>
  <si>
    <t>DTVENDA</t>
  </si>
  <si>
    <t>VRTOTALCONTRATO</t>
  </si>
  <si>
    <t>OD000024</t>
  </si>
  <si>
    <t>28/11/2025</t>
  </si>
  <si>
    <t>THAYRINE SILVEIRA</t>
  </si>
  <si>
    <t>27/11/2025</t>
  </si>
  <si>
    <t>OD000025</t>
  </si>
  <si>
    <t>15/12/2025</t>
  </si>
  <si>
    <t>SILVANO DA SILVA COUTINHO</t>
  </si>
  <si>
    <t>19/12/2025</t>
  </si>
  <si>
    <t>A VISTA</t>
  </si>
  <si>
    <t>OD000036</t>
  </si>
  <si>
    <t>12/12/2025</t>
  </si>
  <si>
    <t>NADIA ANDREIA ZAKALUGEM R</t>
  </si>
  <si>
    <t>OD000049</t>
  </si>
  <si>
    <t>31/12/2025</t>
  </si>
  <si>
    <t>WILLIAM ROMARIO SOUZA FARIAS</t>
  </si>
  <si>
    <t>OD000063</t>
  </si>
  <si>
    <t>06/01/2026</t>
  </si>
  <si>
    <t>JULIANA CRISTINE LEMES KOSOP</t>
  </si>
  <si>
    <t>OD000072</t>
  </si>
  <si>
    <t>13/01/2026</t>
  </si>
  <si>
    <t>DIEGO PADO</t>
  </si>
  <si>
    <t>OL000004</t>
  </si>
  <si>
    <t>06/11/2025</t>
  </si>
  <si>
    <t>ELTON C PINHEIRO</t>
  </si>
  <si>
    <t>22/10/2025</t>
  </si>
  <si>
    <t>OL000005</t>
  </si>
  <si>
    <t>ROSANGELA LOPES CAPETTI</t>
  </si>
  <si>
    <t>24/10/2025</t>
  </si>
  <si>
    <t>OL000007</t>
  </si>
  <si>
    <t>04/11/2025</t>
  </si>
  <si>
    <t>EMERSON LUIZ COLOMBES</t>
  </si>
  <si>
    <t>30/10/2025</t>
  </si>
  <si>
    <t>OL000008</t>
  </si>
  <si>
    <t>WLIANE RICHELLE SOSNITZKI MARM</t>
  </si>
  <si>
    <t>OL000010</t>
  </si>
  <si>
    <t>CAROLINE IVONE DA LUZ TEIXEIRA</t>
  </si>
  <si>
    <t>03/11/2025</t>
  </si>
  <si>
    <t>OL000011</t>
  </si>
  <si>
    <t>FILIPE SILVANO ZANARDI</t>
  </si>
  <si>
    <t>OL000013</t>
  </si>
  <si>
    <t>07/11/2025</t>
  </si>
  <si>
    <t>FABIANA PAULA DOS SANTOS ARAUJ</t>
  </si>
  <si>
    <t>OL000015</t>
  </si>
  <si>
    <t>01/12/2025</t>
  </si>
  <si>
    <t>ALISON FERREIRA PIRES</t>
  </si>
  <si>
    <t>OL000016</t>
  </si>
  <si>
    <t>RAFAEL DOS SANTOS LOURENÇO</t>
  </si>
  <si>
    <t>OL000018</t>
  </si>
  <si>
    <t>18/11/2025</t>
  </si>
  <si>
    <t>GEISIANE SANTOS PEREIRA</t>
  </si>
  <si>
    <t>OL000020</t>
  </si>
  <si>
    <t>IRINEU GREGORIO CHANDOCHA</t>
  </si>
  <si>
    <t>19/11/2025</t>
  </si>
  <si>
    <t>OL000021</t>
  </si>
  <si>
    <t>21/11/2025</t>
  </si>
  <si>
    <t xml:space="preserve">BRUNO MARTINS LOURENCO </t>
  </si>
  <si>
    <t>20/11/2025</t>
  </si>
  <si>
    <t>OL000022</t>
  </si>
  <si>
    <t>JEAN CARLOS GRACIOTTO</t>
  </si>
  <si>
    <t>OL000023</t>
  </si>
  <si>
    <t>CRISTIANE D/LUZ MACHADO D/SOUZ</t>
  </si>
  <si>
    <t>22/11/2025</t>
  </si>
  <si>
    <t>OL000026</t>
  </si>
  <si>
    <t>CRISTIANO KINGESKI PEREIRA</t>
  </si>
  <si>
    <t>17/12/2025</t>
  </si>
  <si>
    <t>OL000029</t>
  </si>
  <si>
    <t>02/12/2025</t>
  </si>
  <si>
    <t>JOSILENE DE MOURA CABRERA</t>
  </si>
  <si>
    <t>OL000030</t>
  </si>
  <si>
    <t>SILVIO ALVES RAMOS</t>
  </si>
  <si>
    <t>04/12/2025</t>
  </si>
  <si>
    <t>OL000032</t>
  </si>
  <si>
    <t>GABRIEL HESS DE OLIVEIRA</t>
  </si>
  <si>
    <t>05/12/2025</t>
  </si>
  <si>
    <t>OL000034</t>
  </si>
  <si>
    <t>08/12/2025</t>
  </si>
  <si>
    <t>BRUNO UMBELINO DE OLIVEIRA</t>
  </si>
  <si>
    <t>OL000037</t>
  </si>
  <si>
    <t>LUAN APOEMA BRILHANTE ROBERT</t>
  </si>
  <si>
    <t>OL000039</t>
  </si>
  <si>
    <t>ANDERSON MARTINS OLIVEIRA</t>
  </si>
  <si>
    <t>16/12/2025</t>
  </si>
  <si>
    <t>OL000040</t>
  </si>
  <si>
    <t>JEAN CLÉBER VELLOSO DW SO</t>
  </si>
  <si>
    <t>OL000042</t>
  </si>
  <si>
    <t>EDUARDO CESAR CARNEIRO</t>
  </si>
  <si>
    <t>18/12/2025</t>
  </si>
  <si>
    <t>OL000043</t>
  </si>
  <si>
    <t>22/12/2025</t>
  </si>
  <si>
    <t>LILIAN PEREIRA DE MELLO</t>
  </si>
  <si>
    <t>OL000046</t>
  </si>
  <si>
    <t>23/12/2025</t>
  </si>
  <si>
    <t>TATIANA ILHETE P TROMPEZYN</t>
  </si>
  <si>
    <t>OL000047</t>
  </si>
  <si>
    <t>24/12/2025</t>
  </si>
  <si>
    <t>LUIZ CESAR A. DE LIMA</t>
  </si>
  <si>
    <t>26/12/2025</t>
  </si>
  <si>
    <t>OL000048</t>
  </si>
  <si>
    <t>ANDREI BULKA MACHULA</t>
  </si>
  <si>
    <t>OL000050</t>
  </si>
  <si>
    <t>JOELCIO ALCIDES PEREIRA</t>
  </si>
  <si>
    <t>OL000052</t>
  </si>
  <si>
    <t>29/12/2025</t>
  </si>
  <si>
    <t>KETTLYN PEREIRA ALVES DE MOURA</t>
  </si>
  <si>
    <t>OL000053</t>
  </si>
  <si>
    <t>LUANA FLAVIA DA SILVA</t>
  </si>
  <si>
    <t>OL000055</t>
  </si>
  <si>
    <t>02/01/2026</t>
  </si>
  <si>
    <t>SAMARONE BUENO</t>
  </si>
  <si>
    <t>OL000056</t>
  </si>
  <si>
    <t>ANGELA HELENA LIMA BALCHAK</t>
  </si>
  <si>
    <t>OL000061</t>
  </si>
  <si>
    <t>MARIA LAURA COSTA</t>
  </si>
  <si>
    <t>OL000062</t>
  </si>
  <si>
    <t xml:space="preserve">JULIANA LIMA MARTINS </t>
  </si>
  <si>
    <t>OL000064</t>
  </si>
  <si>
    <t>ADRIELY DE OLIVEIRA</t>
  </si>
  <si>
    <t>OL000065</t>
  </si>
  <si>
    <t>CAROLINE FERNANDA DE ALBU</t>
  </si>
  <si>
    <t>OL000066</t>
  </si>
  <si>
    <t>07/01/2026</t>
  </si>
  <si>
    <t>ARI ALVES DE MORAES JUNIOR</t>
  </si>
  <si>
    <t>OL000068</t>
  </si>
  <si>
    <t>08/01/2026</t>
  </si>
  <si>
    <t>ARIANE GISELYS</t>
  </si>
  <si>
    <t>OL000069</t>
  </si>
  <si>
    <t>VANESSA OLIVEIRA PERRI RAMOS</t>
  </si>
  <si>
    <t>OL000073</t>
  </si>
  <si>
    <t>16/01/2026</t>
  </si>
  <si>
    <t>JULIANO ANTONIO PILATTI</t>
  </si>
  <si>
    <t>15/01/2026</t>
  </si>
  <si>
    <t>OL000076</t>
  </si>
  <si>
    <t>21/01/2026</t>
  </si>
  <si>
    <t>GUILHERME ARRUDA SILVA</t>
  </si>
  <si>
    <t>20/01/2026</t>
  </si>
  <si>
    <t>OL000077</t>
  </si>
  <si>
    <t>ROMULO   P   SIMIONE</t>
  </si>
  <si>
    <t>OL000078</t>
  </si>
  <si>
    <t>SANDRO CEZAR DE ARAUJO</t>
  </si>
  <si>
    <t>SD000002</t>
  </si>
  <si>
    <t>ALEXANDRE MEYER</t>
  </si>
  <si>
    <t>24/11/2025</t>
  </si>
  <si>
    <t>SD000004</t>
  </si>
  <si>
    <t>LUCINEIA FILIPPI</t>
  </si>
  <si>
    <t>27/10/2025</t>
  </si>
  <si>
    <t>25/10/2025</t>
  </si>
  <si>
    <t>SD000005</t>
  </si>
  <si>
    <t>HENRIQUE WOITECHEN</t>
  </si>
  <si>
    <t>21/10/2025</t>
  </si>
  <si>
    <t>SD000007</t>
  </si>
  <si>
    <t>16/10/2025</t>
  </si>
  <si>
    <t>MARIA JULIA RICARDO DIGAM</t>
  </si>
  <si>
    <t>10/11/2025</t>
  </si>
  <si>
    <t>SD000008</t>
  </si>
  <si>
    <t>MARIANA VALENTIM FIGUEREDO</t>
  </si>
  <si>
    <t>SD000009</t>
  </si>
  <si>
    <t xml:space="preserve">SAMANTHA GLADYS CORDEIRO </t>
  </si>
  <si>
    <t>20/10/2025</t>
  </si>
  <si>
    <t>SD000012</t>
  </si>
  <si>
    <t>GABRIELLY VITORIA AB DE MATOS</t>
  </si>
  <si>
    <t>12/10/2025</t>
  </si>
  <si>
    <t>SD000013</t>
  </si>
  <si>
    <t>LARISSA CRISTINA C. DE MELO</t>
  </si>
  <si>
    <t>SD000014</t>
  </si>
  <si>
    <t>GILVANA DE LURDES P/ DA SILVA</t>
  </si>
  <si>
    <t>14/10/2025</t>
  </si>
  <si>
    <t>SD000016</t>
  </si>
  <si>
    <t>GABRIEL MORO CONRE</t>
  </si>
  <si>
    <t>SD000017</t>
  </si>
  <si>
    <t>DEBORA BRUM</t>
  </si>
  <si>
    <t>17/10/2025</t>
  </si>
  <si>
    <t>SD000022</t>
  </si>
  <si>
    <t>ANDRÉ LAUREANO SILVA</t>
  </si>
  <si>
    <t>11/12/2025</t>
  </si>
  <si>
    <t>SD000023</t>
  </si>
  <si>
    <t>DIONE SOUZA</t>
  </si>
  <si>
    <t>SD000024</t>
  </si>
  <si>
    <t>RAVI DOS SANTOS</t>
  </si>
  <si>
    <t>09/11/2025</t>
  </si>
  <si>
    <t>SD000028</t>
  </si>
  <si>
    <t>13/10/2025</t>
  </si>
  <si>
    <t>DYHEGO  NELSON MOURA</t>
  </si>
  <si>
    <t>11/01/2026</t>
  </si>
  <si>
    <t>SD000036</t>
  </si>
  <si>
    <t>REBECA MENDES</t>
  </si>
  <si>
    <t>14/01/2026</t>
  </si>
  <si>
    <t>27/12/2025</t>
  </si>
  <si>
    <t>SD000037</t>
  </si>
  <si>
    <t>ISRAEL ALEXANDRE S/DA SILVA</t>
  </si>
  <si>
    <t>29/10/2025</t>
  </si>
  <si>
    <t>28/10/2025</t>
  </si>
  <si>
    <t>SD000038</t>
  </si>
  <si>
    <t>WILLIAN HERMEGILDO</t>
  </si>
  <si>
    <t>08/11/2025</t>
  </si>
  <si>
    <t>SD000039</t>
  </si>
  <si>
    <t>BERNARDO SALGADO LA/ FISCHER</t>
  </si>
  <si>
    <t>23/10/2025</t>
  </si>
  <si>
    <t>SD000044</t>
  </si>
  <si>
    <t>THAYLAN WILLIAN SANTOS DA SILV</t>
  </si>
  <si>
    <t>17/11/2025</t>
  </si>
  <si>
    <t>SD000045</t>
  </si>
  <si>
    <t>JULIENE APARECIDA WOLSKI</t>
  </si>
  <si>
    <t>SD000048</t>
  </si>
  <si>
    <t>CESARIO DOS SANTOS FERREIRA N.</t>
  </si>
  <si>
    <t>26/11/2025</t>
  </si>
  <si>
    <t>16/11/2025</t>
  </si>
  <si>
    <t>SD000049</t>
  </si>
  <si>
    <t>18/10/2025</t>
  </si>
  <si>
    <t>EMERSON ADRIANO GOMES</t>
  </si>
  <si>
    <t>SD000050</t>
  </si>
  <si>
    <t>OSMAR APARECIDO DE LIMA</t>
  </si>
  <si>
    <t>SD000052</t>
  </si>
  <si>
    <t>RODRIGO BALHUK</t>
  </si>
  <si>
    <t>SD000059</t>
  </si>
  <si>
    <t>MELINA ALVES O. DIAS</t>
  </si>
  <si>
    <t>SD000062</t>
  </si>
  <si>
    <t>LEANDRO XAVIER MARTINS</t>
  </si>
  <si>
    <t>SD000067</t>
  </si>
  <si>
    <t>DOUGLAS RODRIGUES DE LIMA</t>
  </si>
  <si>
    <t>SD000068</t>
  </si>
  <si>
    <t>RAQUEL DA SILVA BENIGNO</t>
  </si>
  <si>
    <t>13/12/2025</t>
  </si>
  <si>
    <t>SD000069</t>
  </si>
  <si>
    <t>DENISE FREITAS DE OLIVEIRA</t>
  </si>
  <si>
    <t>31/10/2025</t>
  </si>
  <si>
    <t>26/10/2025</t>
  </si>
  <si>
    <t>SD000070</t>
  </si>
  <si>
    <t>BRUNO RAFHAEL DUTRA</t>
  </si>
  <si>
    <t>01/11/2025</t>
  </si>
  <si>
    <t>SD000071</t>
  </si>
  <si>
    <t>10/12/2025</t>
  </si>
  <si>
    <t>VICTORIO CASS CACCIA</t>
  </si>
  <si>
    <t>19/01/2026</t>
  </si>
  <si>
    <t>SD000074</t>
  </si>
  <si>
    <t>ANDERSON FRANCA LOPES</t>
  </si>
  <si>
    <t>SD000090</t>
  </si>
  <si>
    <t>ROBSON DOS SANTOS ALVES J.</t>
  </si>
  <si>
    <t>SD000093</t>
  </si>
  <si>
    <t>VINICIOS GABRIEL ROSA</t>
  </si>
  <si>
    <t>SD000094</t>
  </si>
  <si>
    <t>JEAN ALECHANDRE RIBEIRO FRANCO</t>
  </si>
  <si>
    <t>12/01/2026</t>
  </si>
  <si>
    <t>09/01/2026</t>
  </si>
  <si>
    <t>SD000098</t>
  </si>
  <si>
    <t>ANA JULIA MARTINS MACHADO</t>
  </si>
  <si>
    <t>05/11/2025</t>
  </si>
  <si>
    <t>SD000102</t>
  </si>
  <si>
    <t>DIEGO NASCIMENTO FERREIRA</t>
  </si>
  <si>
    <t>SD000106</t>
  </si>
  <si>
    <t>11/11/2025</t>
  </si>
  <si>
    <t>ADRIANO DIEGO BENTES MARCÊDO</t>
  </si>
  <si>
    <t>SD000107</t>
  </si>
  <si>
    <t>LUVERCI CANDIDO DE CAMARGO</t>
  </si>
  <si>
    <t>SD000109</t>
  </si>
  <si>
    <t>EDUARDO DE OLIVEIRA CAMPOS</t>
  </si>
  <si>
    <t>07/12/2025</t>
  </si>
  <si>
    <t>SD000110</t>
  </si>
  <si>
    <t>MELISSA G. MIRANDA</t>
  </si>
  <si>
    <t>SD000111</t>
  </si>
  <si>
    <t>SULLIVAR  J. BARROSO</t>
  </si>
  <si>
    <t>SD000112</t>
  </si>
  <si>
    <t>JORGE SUGAMOSTO</t>
  </si>
  <si>
    <t>SD000113</t>
  </si>
  <si>
    <t>LAURIANE SOUZA DE JESUS</t>
  </si>
  <si>
    <t>SD000114</t>
  </si>
  <si>
    <t>RYAN WILLIAN PACHECO</t>
  </si>
  <si>
    <t>SD000117</t>
  </si>
  <si>
    <t>ALEX RODRIGUES DOS SANTOS</t>
  </si>
  <si>
    <t>14/12/2025</t>
  </si>
  <si>
    <t>SD000118</t>
  </si>
  <si>
    <t>FILIPE S. DE OLIVEIRA</t>
  </si>
  <si>
    <t>SD000119</t>
  </si>
  <si>
    <t>GEAN CARLOS VIDAL DOS SANTOS</t>
  </si>
  <si>
    <t>SD000120</t>
  </si>
  <si>
    <t>ANDREA BARBOSA DE ANDRADE</t>
  </si>
  <si>
    <t>03/01/2026</t>
  </si>
  <si>
    <t>SD000121</t>
  </si>
  <si>
    <t>ALYSON EDER OLIVEIRA</t>
  </si>
  <si>
    <t>SD000124</t>
  </si>
  <si>
    <t>12/11/2025</t>
  </si>
  <si>
    <t xml:space="preserve">GABRIELA AZEVEDO M. DA CUNHA </t>
  </si>
  <si>
    <t>14/11/2025</t>
  </si>
  <si>
    <t>13/11/2025</t>
  </si>
  <si>
    <t>SD000126</t>
  </si>
  <si>
    <t>MARCELO REQUENA</t>
  </si>
  <si>
    <t>05/01/2026</t>
  </si>
  <si>
    <t>SD000129</t>
  </si>
  <si>
    <t xml:space="preserve">GIOVANA NUNES MOSCARDI ELIAS </t>
  </si>
  <si>
    <t>30/11/2025</t>
  </si>
  <si>
    <t>SD000130</t>
  </si>
  <si>
    <t xml:space="preserve">SARAH HAIA GOZALAN </t>
  </si>
  <si>
    <t>SD000132</t>
  </si>
  <si>
    <t>MAYLEN RAFAELA  FERRER VARGAS</t>
  </si>
  <si>
    <t>21/12/2025</t>
  </si>
  <si>
    <t>SD000133</t>
  </si>
  <si>
    <t>GUSTAVO M. STONOGA</t>
  </si>
  <si>
    <t>20/12/2025</t>
  </si>
  <si>
    <t>SD000136</t>
  </si>
  <si>
    <t>IVAL TEODORO DA SILVA</t>
  </si>
  <si>
    <t>23/01/2026</t>
  </si>
  <si>
    <t>SD000137</t>
  </si>
  <si>
    <t>RONALD MAURI OBLADEN</t>
  </si>
  <si>
    <t>SD000138</t>
  </si>
  <si>
    <t>RODRIGO MARCIONILO DOS SANTOS</t>
  </si>
  <si>
    <t>SD000139</t>
  </si>
  <si>
    <t>CARINA TOSIN</t>
  </si>
  <si>
    <t>SD000148</t>
  </si>
  <si>
    <t>EMILY SARAH FERREIRA CORREIA</t>
  </si>
  <si>
    <t>SD000149</t>
  </si>
  <si>
    <t>VALERIA DOS SANTOS</t>
  </si>
  <si>
    <t>SD000151</t>
  </si>
  <si>
    <t>MARIA LOISA FRANÇA FRANCO</t>
  </si>
  <si>
    <t>SD000152</t>
  </si>
  <si>
    <t>MAURO CESAR DE FREITAS</t>
  </si>
  <si>
    <t>29/11/2025</t>
  </si>
  <si>
    <t>SD000153</t>
  </si>
  <si>
    <t>MICHAEL JESUS BORGES GUTIERREZ</t>
  </si>
  <si>
    <t>SD000157</t>
  </si>
  <si>
    <t>DIRCEU BAGATELLI</t>
  </si>
  <si>
    <t>25/01/2026</t>
  </si>
  <si>
    <t>SD000158</t>
  </si>
  <si>
    <t>LUCIANA ARAUJO DOS SANTOS</t>
  </si>
  <si>
    <t>SD000159</t>
  </si>
  <si>
    <t>ANTONIO RUBENS FARIA</t>
  </si>
  <si>
    <t>SD000161</t>
  </si>
  <si>
    <t>IAN MENDES DE MELLO</t>
  </si>
  <si>
    <t>SD000162</t>
  </si>
  <si>
    <t>ALINE M.COSTA ALEXANDRE</t>
  </si>
  <si>
    <t>SD000163</t>
  </si>
  <si>
    <t>HENRIQUE CAMARGO</t>
  </si>
  <si>
    <t>SD000165</t>
  </si>
  <si>
    <t>PRISCILA CAROLINE JUSTINO</t>
  </si>
  <si>
    <t>SD000166</t>
  </si>
  <si>
    <t xml:space="preserve">GILLARD ALFREDO FAGUNDES </t>
  </si>
  <si>
    <t>25/11/2025</t>
  </si>
  <si>
    <t>SD000168</t>
  </si>
  <si>
    <t>EDWIN BDTTEHER</t>
  </si>
  <si>
    <t>23/11/2025</t>
  </si>
  <si>
    <t>SD000169</t>
  </si>
  <si>
    <t>THIAGO SANTANA STIN DE GODOI</t>
  </si>
  <si>
    <t>SD000178</t>
  </si>
  <si>
    <t>KEVIN CRISTIAN DA SILVA PATRIC</t>
  </si>
  <si>
    <t>SD000184</t>
  </si>
  <si>
    <t>MURILO LEMES PACHER</t>
  </si>
  <si>
    <t>SD000185</t>
  </si>
  <si>
    <t>RAUL VITOR D/SILVA PERAZZETTA</t>
  </si>
  <si>
    <t>SD000187</t>
  </si>
  <si>
    <t>JOILSON JOSE DE LARA SEHULUCHA</t>
  </si>
  <si>
    <t>27/01/2026</t>
  </si>
  <si>
    <t>SD000191</t>
  </si>
  <si>
    <t>DANIEL VINICIUS MARTINS CARDOS</t>
  </si>
  <si>
    <t>SD000192</t>
  </si>
  <si>
    <t>JULIANA KAILER NUNES COSTA</t>
  </si>
  <si>
    <t>03/12/2025</t>
  </si>
  <si>
    <t>SD000193</t>
  </si>
  <si>
    <t>FERNANDA A. DOS SANTOS</t>
  </si>
  <si>
    <t>SD000194</t>
  </si>
  <si>
    <t>SELMA NUNES CORDEIRO</t>
  </si>
  <si>
    <t>SD000196</t>
  </si>
  <si>
    <t>MATHEUS BINAFINI DO CARMO</t>
  </si>
  <si>
    <t>SD000197</t>
  </si>
  <si>
    <t>CARLOS ROBERTO FARIAS</t>
  </si>
  <si>
    <t>SD000201</t>
  </si>
  <si>
    <t>ANA CAROLINA ALCANTRA Q.</t>
  </si>
  <si>
    <t>SD000202</t>
  </si>
  <si>
    <t>JOÃO DAVI CELIO DE PAULA</t>
  </si>
  <si>
    <t>SD000203</t>
  </si>
  <si>
    <t>MATHEUS MEIRA DE MIRANDA  / A</t>
  </si>
  <si>
    <t>SD000204</t>
  </si>
  <si>
    <t>GABRIEL FELIPE BEZERRA BARBOSA</t>
  </si>
  <si>
    <t>30/12/2025</t>
  </si>
  <si>
    <t>SD000205</t>
  </si>
  <si>
    <t>ADRIANO KUCHLA</t>
  </si>
  <si>
    <t>SD000208</t>
  </si>
  <si>
    <t>ANTHONY CORDEIRO RAMOS</t>
  </si>
  <si>
    <t>SD000209</t>
  </si>
  <si>
    <t>FELIPE ANDZIEWSKI</t>
  </si>
  <si>
    <t>06/12/2025</t>
  </si>
  <si>
    <t>SD000210</t>
  </si>
  <si>
    <t xml:space="preserve">FABRICIO SOUZA DA COSTA </t>
  </si>
  <si>
    <t>SD000211</t>
  </si>
  <si>
    <t>SARAH DE MORAES DA SILVA</t>
  </si>
  <si>
    <t>SD000212</t>
  </si>
  <si>
    <t>VALÉRIA BEATRIZ ALVES COLINS</t>
  </si>
  <si>
    <t>SD000214</t>
  </si>
  <si>
    <t xml:space="preserve">PEDRO JUNIOR </t>
  </si>
  <si>
    <t>SD000216</t>
  </si>
  <si>
    <t>ALANA BALI</t>
  </si>
  <si>
    <t>SD000217</t>
  </si>
  <si>
    <t>ALEXSANDRO SILVA</t>
  </si>
  <si>
    <t>01/01/2026</t>
  </si>
  <si>
    <t>SD000221</t>
  </si>
  <si>
    <t>PEDRO IVO GONÇALVES BISCOTTO</t>
  </si>
  <si>
    <t>SD000222</t>
  </si>
  <si>
    <t>NATHALIA GOMES FERIATO</t>
  </si>
  <si>
    <t>18/01/2026</t>
  </si>
  <si>
    <t>SD000223</t>
  </si>
  <si>
    <t>JULIANA DA SILVA MALAQUIAS</t>
  </si>
  <si>
    <t>SD000224</t>
  </si>
  <si>
    <t>KAMILA CRISTINA BUSMAIER</t>
  </si>
  <si>
    <t>SD000225</t>
  </si>
  <si>
    <t>CAROLINA DE MIRANDA EVANGELIST</t>
  </si>
  <si>
    <t>SD000226</t>
  </si>
  <si>
    <t>ABILIO DOUGLAS PACHECO</t>
  </si>
  <si>
    <t>SD000228</t>
  </si>
  <si>
    <t>WILLIAN C. ROCHA DE OLIVEIRA</t>
  </si>
  <si>
    <t>26/01/2026</t>
  </si>
  <si>
    <t>SD000230</t>
  </si>
  <si>
    <t>ANDERSON ALVES CORREA</t>
  </si>
  <si>
    <t>SD000231</t>
  </si>
  <si>
    <t>GIANCARLO MOSCARDI ELIAS</t>
  </si>
  <si>
    <t>10/01/2026</t>
  </si>
  <si>
    <t>SD000239</t>
  </si>
  <si>
    <t>FABIO RODRIGO HERMES</t>
  </si>
  <si>
    <t>SD000240</t>
  </si>
  <si>
    <t>JOSÉ JOCELI FRANCISCO</t>
  </si>
  <si>
    <t>SD000244</t>
  </si>
  <si>
    <t>ISABELE PRISCILA POLETTI C.</t>
  </si>
  <si>
    <t>SD000245</t>
  </si>
  <si>
    <t>LEONARDO MARTINS FERNANDES</t>
  </si>
  <si>
    <t>SD000248</t>
  </si>
  <si>
    <t>KAOANA VEIGA RODRIGUES</t>
  </si>
  <si>
    <t>SD000249</t>
  </si>
  <si>
    <t>JONATHAM  JUNIOR PEREIRA</t>
  </si>
  <si>
    <t>SD000250</t>
  </si>
  <si>
    <t xml:space="preserve">KAREN CRISTINE SILVA </t>
  </si>
  <si>
    <t>SD000255</t>
  </si>
  <si>
    <t>YAN FELIPE RESENDE ROSA</t>
  </si>
  <si>
    <t>SD000257</t>
  </si>
  <si>
    <t>MARLEI ZUCCO MARTINS</t>
  </si>
  <si>
    <t>SD000259</t>
  </si>
  <si>
    <t>LUIS ALBERTO GOMES MEDEIROS</t>
  </si>
  <si>
    <t>SD000260</t>
  </si>
  <si>
    <t>ANTONIO CARLOS DOS SANTOS</t>
  </si>
  <si>
    <t>SD000261</t>
  </si>
  <si>
    <t>YURI VENANCIO E SILVA</t>
  </si>
  <si>
    <t>SD000262</t>
  </si>
  <si>
    <t>BRUNA LUQUEZ AMARAL</t>
  </si>
  <si>
    <t>SD000263</t>
  </si>
  <si>
    <t>CHRISTIAN FONSECA ROSA</t>
  </si>
  <si>
    <t>28/12/2025</t>
  </si>
  <si>
    <t>SD000265</t>
  </si>
  <si>
    <t>EZEQUIEL SILVEIRA DO NASCIMENT</t>
  </si>
  <si>
    <t>SD000271</t>
  </si>
  <si>
    <t>ANA PAULA R. DOS SANTOS ROSSI</t>
  </si>
  <si>
    <t>SD000272</t>
  </si>
  <si>
    <t>OSANA PEREIRA NOGUEIRA</t>
  </si>
  <si>
    <t>SD000273</t>
  </si>
  <si>
    <t>AMANDA GABRIEL DA SILVA</t>
  </si>
  <si>
    <t>SD000274</t>
  </si>
  <si>
    <t>EMILLY ANTUNES</t>
  </si>
  <si>
    <t>SD000276</t>
  </si>
  <si>
    <t>HERICLES DA SILVA MAFALDA</t>
  </si>
  <si>
    <t>SD000278</t>
  </si>
  <si>
    <t>GILMAR PEREIRA DE LIMA</t>
  </si>
  <si>
    <t>SD000281</t>
  </si>
  <si>
    <t>DEBORA KIETZA</t>
  </si>
  <si>
    <t>SD000284</t>
  </si>
  <si>
    <t>PETER ANDERSON PAULINO OLLEROS</t>
  </si>
  <si>
    <t>SD000286</t>
  </si>
  <si>
    <t>ALINE VALERIO VEIGA DA ROCHA</t>
  </si>
  <si>
    <t>SD000289</t>
  </si>
  <si>
    <t>ETELVINA VIEIRA DA SILVA</t>
  </si>
  <si>
    <t>SD000290</t>
  </si>
  <si>
    <t>YUUKI BECKAUSER KODAKA SANTOS</t>
  </si>
  <si>
    <t>SD000291</t>
  </si>
  <si>
    <t>MARIO JOSÉ PEIXOTO JONES</t>
  </si>
  <si>
    <t>SD000299</t>
  </si>
  <si>
    <t>EDUARDA LYSSENHO APPARECIDA</t>
  </si>
  <si>
    <t>SD000301</t>
  </si>
  <si>
    <t>RICK REDIMAK PEREIRA</t>
  </si>
  <si>
    <t>SD000306</t>
  </si>
  <si>
    <t>EVERTON RAMOS PINHEIRO</t>
  </si>
  <si>
    <t>SD000307</t>
  </si>
  <si>
    <t>ANDERSON BENITES RORATTO</t>
  </si>
  <si>
    <t>SD000308</t>
  </si>
  <si>
    <t>NAIARA MONCAYO PEREIRA</t>
  </si>
  <si>
    <t>SD000309</t>
  </si>
  <si>
    <t>JEAN KASPECHACK KARAKAIVA</t>
  </si>
  <si>
    <t>22/01/2026</t>
  </si>
  <si>
    <t>SD000352</t>
  </si>
  <si>
    <t>JOSE CARLOS SOARES GOMES</t>
  </si>
  <si>
    <t>SD000353</t>
  </si>
  <si>
    <t>WELINTON APARECIDO DA SILVA</t>
  </si>
  <si>
    <t>28/01/2026</t>
  </si>
  <si>
    <t>SD000354</t>
  </si>
  <si>
    <t>IAM MATHEUS GONÇALVES B.</t>
  </si>
  <si>
    <t>SD000364</t>
  </si>
  <si>
    <t>JUSSARA DIOLI LEPINSKI</t>
  </si>
  <si>
    <t>24/01/2026</t>
  </si>
  <si>
    <t>SD000375</t>
  </si>
  <si>
    <t>ROSANA MARTINS SANTINA OLIVEIR</t>
  </si>
  <si>
    <t>SL000003</t>
  </si>
  <si>
    <t>FABIO HENRIQUE ALCANTRA F.</t>
  </si>
  <si>
    <t>SL000009</t>
  </si>
  <si>
    <t>DANIEL LUCAS DE MATTOS</t>
  </si>
  <si>
    <t>SL000010</t>
  </si>
  <si>
    <t>CAROLINE PERDIGUES</t>
  </si>
  <si>
    <t>SL000011</t>
  </si>
  <si>
    <t>ALCEU DE OLIVEIRA</t>
  </si>
  <si>
    <t>SL000014</t>
  </si>
  <si>
    <t>DEBORA DIJKSTRA</t>
  </si>
  <si>
    <t>SL000015</t>
  </si>
  <si>
    <t>JULIO DE OLIVEIRA JUNIOR</t>
  </si>
  <si>
    <t>SL000016</t>
  </si>
  <si>
    <t>EMERSON EDUARDO TOLDO</t>
  </si>
  <si>
    <t>SL000017</t>
  </si>
  <si>
    <t>PEDRO ALEXANDRE SOUZA PEREIRA</t>
  </si>
  <si>
    <t>SL000020</t>
  </si>
  <si>
    <t xml:space="preserve">SERGIO VIANA </t>
  </si>
  <si>
    <t>SL000023</t>
  </si>
  <si>
    <t>RODRIGO ALVES DE ALCANTRA</t>
  </si>
  <si>
    <t>SL000024</t>
  </si>
  <si>
    <t>CLEVERSON BAGATOLI</t>
  </si>
  <si>
    <t>SL000026</t>
  </si>
  <si>
    <t>ADRIELE DA SILVEIRA V/ PUROVAR</t>
  </si>
  <si>
    <t>SL000028</t>
  </si>
  <si>
    <t>KLEVERSON CORDEIRO FRITAS</t>
  </si>
  <si>
    <t>SL000032</t>
  </si>
  <si>
    <t>RENEY SPINDOLA</t>
  </si>
  <si>
    <t>SL000035</t>
  </si>
  <si>
    <t>JOÃO VICTOR PINHEIRO D/ NASCIM</t>
  </si>
  <si>
    <t>SL000036</t>
  </si>
  <si>
    <t>KETTERYM DA SILVA CARVALHO</t>
  </si>
  <si>
    <t>SL000039</t>
  </si>
  <si>
    <t>ORLANDO STVARTT SILVA</t>
  </si>
  <si>
    <t>SL000040</t>
  </si>
  <si>
    <t>JOSE ADERICO DE BIASSIO</t>
  </si>
  <si>
    <t>SL000042</t>
  </si>
  <si>
    <t>JOSÉ CARLOS DA SILVA</t>
  </si>
  <si>
    <t>SL000043</t>
  </si>
  <si>
    <t>TAMIRES GONLALVES</t>
  </si>
  <si>
    <t>SL000044</t>
  </si>
  <si>
    <t>LUIZ ROBERTO DE LIMA</t>
  </si>
  <si>
    <t>SL000045</t>
  </si>
  <si>
    <t>FABIO FELIPE ELIAS DE MENEZES</t>
  </si>
  <si>
    <t>SL000046</t>
  </si>
  <si>
    <t>FELIPE LEANDRO CAVALLI SFORZA</t>
  </si>
  <si>
    <t>SL000048</t>
  </si>
  <si>
    <t>MARCELINO JOSE LOPES</t>
  </si>
  <si>
    <t>SL000052</t>
  </si>
  <si>
    <t>KELY DENISE MICHELO DOS SANTOS</t>
  </si>
  <si>
    <t>SL000055</t>
  </si>
  <si>
    <t>RICARDO ROSS</t>
  </si>
  <si>
    <t>SL000056</t>
  </si>
  <si>
    <t>RHANNA MAYLA DE AVILA</t>
  </si>
  <si>
    <t>SL000058</t>
  </si>
  <si>
    <t>RODRIGO GONÇALVES RODRIGUES</t>
  </si>
  <si>
    <t>SL000059</t>
  </si>
  <si>
    <t>PAULO S. DA SILVA JUNIOR</t>
  </si>
  <si>
    <t>SL000060</t>
  </si>
  <si>
    <t>LEANDRO LESSA AZEVEDO PEREIRA</t>
  </si>
  <si>
    <t>SL000061</t>
  </si>
  <si>
    <t>WESLEY PEREIRA BATISTA</t>
  </si>
  <si>
    <t>SL000062</t>
  </si>
  <si>
    <t>JOÃO FLAVIS</t>
  </si>
  <si>
    <t>SL000063</t>
  </si>
  <si>
    <t>PAULO ROBERTO ALEXANDRINO DA/S</t>
  </si>
  <si>
    <t>SL000066</t>
  </si>
  <si>
    <t>JEAN M. DOS SANTOS</t>
  </si>
  <si>
    <t>SL000067</t>
  </si>
  <si>
    <t>ROBERTA W. CARVALHO FORTUNATO</t>
  </si>
  <si>
    <t>SL000069</t>
  </si>
  <si>
    <t>MOISES STELMA</t>
  </si>
  <si>
    <t>SL000074</t>
  </si>
  <si>
    <t>SILVENEI DE CAMPOS</t>
  </si>
  <si>
    <t>SL000075</t>
  </si>
  <si>
    <t>RICARDO CORREA FERREIRA</t>
  </si>
  <si>
    <t>SL000076</t>
  </si>
  <si>
    <t xml:space="preserve">ELIZER ARALTE </t>
  </si>
  <si>
    <t>SL000081</t>
  </si>
  <si>
    <t>CARLOS ALBERTO MODERTO R</t>
  </si>
  <si>
    <t>SL000082</t>
  </si>
  <si>
    <t>FERNANDO JOSE DOS SANTOS</t>
  </si>
  <si>
    <t>SL000085</t>
  </si>
  <si>
    <t xml:space="preserve">JOELMA DURÕES DE SOUZA LIMA </t>
  </si>
  <si>
    <t>SL000086</t>
  </si>
  <si>
    <t>PAULO PADILHA DE SOUZA</t>
  </si>
  <si>
    <t>SL000087</t>
  </si>
  <si>
    <t>RAFHAEL PIOVEZON DISSENHA</t>
  </si>
  <si>
    <t>SL000088</t>
  </si>
  <si>
    <t>JOSE ORSILEI DONDA</t>
  </si>
  <si>
    <t>SL000090</t>
  </si>
  <si>
    <t>THIAGO DE JESUS</t>
  </si>
  <si>
    <t>SL000092</t>
  </si>
  <si>
    <t>KALLIANNY CHRISTINI DE OL/ BAT</t>
  </si>
  <si>
    <t>SL000099</t>
  </si>
  <si>
    <t>MAYCO BRUM</t>
  </si>
  <si>
    <t>SL000101</t>
  </si>
  <si>
    <t>MOISES APOLONIO CUNHA</t>
  </si>
  <si>
    <t>SL000102</t>
  </si>
  <si>
    <t>FERNANDO MATTOS  BERGER</t>
  </si>
  <si>
    <t>SL000103</t>
  </si>
  <si>
    <t>GUSTAVO JOSÉ VEBEL JOSLIN</t>
  </si>
  <si>
    <t>SL000110</t>
  </si>
  <si>
    <t>DOUGLAS BATISTA BOZI</t>
  </si>
  <si>
    <t>SL000111</t>
  </si>
  <si>
    <t>DANIEL RODRIGUES DOS SANTOS</t>
  </si>
  <si>
    <t>02/11/2025</t>
  </si>
  <si>
    <t>SL000115</t>
  </si>
  <si>
    <t>ISRAEL BORGES OLIVEIRA</t>
  </si>
  <si>
    <t>SL000116</t>
  </si>
  <si>
    <t>JAQUELINE ISABEL CAREAGA JANS</t>
  </si>
  <si>
    <t>SL000117</t>
  </si>
  <si>
    <t>MARGARETHE TERRA ALCANTARA</t>
  </si>
  <si>
    <t>SL000118</t>
  </si>
  <si>
    <t>MAURICIO FRANCO DE JESUS</t>
  </si>
  <si>
    <t>15/11/2025</t>
  </si>
  <si>
    <t>SL000120</t>
  </si>
  <si>
    <t>OTAVIO HENRIQUE B.G. DE ARAUJO</t>
  </si>
  <si>
    <t>SL000121</t>
  </si>
  <si>
    <t>ELIO GONZALO BOLIVAR PADRINO</t>
  </si>
  <si>
    <t>SL000122</t>
  </si>
  <si>
    <t>FABIO ROGERIO M. PINHEIRO</t>
  </si>
  <si>
    <t>SL000123</t>
  </si>
  <si>
    <t>JOSELITA GUILHERME MIRANDA</t>
  </si>
  <si>
    <t>SL000124</t>
  </si>
  <si>
    <t>ONEIDA ZAMERMON</t>
  </si>
  <si>
    <t>SL000125</t>
  </si>
  <si>
    <t>ALAN OLIVEIRA</t>
  </si>
  <si>
    <t>SL000126</t>
  </si>
  <si>
    <t>SEBASTIAN HENRIQUE D/ SILVA /S</t>
  </si>
  <si>
    <t>SL000127</t>
  </si>
  <si>
    <t>ALYSON VONKRUGER</t>
  </si>
  <si>
    <t>SL000128</t>
  </si>
  <si>
    <t>DANIEL JK KEKUCHE</t>
  </si>
  <si>
    <t>SL000134</t>
  </si>
  <si>
    <t>VALDECIR DE ANDRADE PERREIRA</t>
  </si>
  <si>
    <t>SL000146</t>
  </si>
  <si>
    <t>EDSON CRISTIAN DA SILVA</t>
  </si>
  <si>
    <t>SL000147</t>
  </si>
  <si>
    <t>JEFFERSON CHISTIANO DA SILVA</t>
  </si>
  <si>
    <t>SL000151</t>
  </si>
  <si>
    <t>JESSICA BUTZKE SILVA</t>
  </si>
  <si>
    <t>SL000154</t>
  </si>
  <si>
    <t>JULIO CESAM BONATO</t>
  </si>
  <si>
    <t>SL000156</t>
  </si>
  <si>
    <t>MARCIO ROGERIO DO VALE</t>
  </si>
  <si>
    <t>SL000157</t>
  </si>
  <si>
    <t>SOLANGE DA SILVA CARDOSO C.</t>
  </si>
  <si>
    <t>SL000158</t>
  </si>
  <si>
    <t>DAYANE ALVES DA SILVA</t>
  </si>
  <si>
    <t>SL000159</t>
  </si>
  <si>
    <t>KAUE CIOLI BRUNING</t>
  </si>
  <si>
    <t>SL000160</t>
  </si>
  <si>
    <t>RIVADAYA GAUDINO FERREIRA JR</t>
  </si>
  <si>
    <t>SL000161</t>
  </si>
  <si>
    <t>CAMILA SOARES DO NASCIMENTO AL</t>
  </si>
  <si>
    <t>SL000163</t>
  </si>
  <si>
    <t>REGINA MARQUES PEREIRA DE JESU</t>
  </si>
  <si>
    <t>SL000165</t>
  </si>
  <si>
    <t>JOSÉ ARGEU M. KUSTER JUNIOR</t>
  </si>
  <si>
    <t>SL000167</t>
  </si>
  <si>
    <t>LEO FERREIRA DOS SANTOS</t>
  </si>
  <si>
    <t>SL000168</t>
  </si>
  <si>
    <t>CARMEM LETICIA G. GOMES ROSA</t>
  </si>
  <si>
    <t>SL000169</t>
  </si>
  <si>
    <t>KEILA VIEIRA</t>
  </si>
  <si>
    <t>SL000172</t>
  </si>
  <si>
    <t>MARCELO AUGUSTO LOPES DE RAMOS</t>
  </si>
  <si>
    <t>SL000173</t>
  </si>
  <si>
    <t>ISAQUE GILS DE SOUZA</t>
  </si>
  <si>
    <t>SL000174</t>
  </si>
  <si>
    <t>MICHAEL LANDIM PIRES</t>
  </si>
  <si>
    <t>SL000175</t>
  </si>
  <si>
    <t>PAULO HENRIQUE FELSK</t>
  </si>
  <si>
    <t>SL000177</t>
  </si>
  <si>
    <t>NILCELENE MARIA DE SOUZA</t>
  </si>
  <si>
    <t>15/10/2025</t>
  </si>
  <si>
    <t>SL000178</t>
  </si>
  <si>
    <t>ERICA LANA DITTMANN</t>
  </si>
  <si>
    <t>SL000180</t>
  </si>
  <si>
    <t xml:space="preserve">WILLIAM CORDEIRO DOS SANTOS </t>
  </si>
  <si>
    <t>SL000181</t>
  </si>
  <si>
    <t>TATIANA RODRIGUES MEDUNA</t>
  </si>
  <si>
    <t>SL000182</t>
  </si>
  <si>
    <t>CRISTIANO FERREIRA L /JUNIOR</t>
  </si>
  <si>
    <t>SL000185</t>
  </si>
  <si>
    <t>RENAN EDUARDO SALGADO</t>
  </si>
  <si>
    <t>SL000186</t>
  </si>
  <si>
    <t>LUCIANE MAIESKI MOREIRA</t>
  </si>
  <si>
    <t>SL000194</t>
  </si>
  <si>
    <t>RENATO DE SOUZA PINTO</t>
  </si>
  <si>
    <t>SL000195</t>
  </si>
  <si>
    <t>ADALBERTO DA SILVA PARAIBA</t>
  </si>
  <si>
    <t>SL000196</t>
  </si>
  <si>
    <t>EDUARDO MARAFIGO BORGES</t>
  </si>
  <si>
    <t>SL000197</t>
  </si>
  <si>
    <t>MONARA GARANITO</t>
  </si>
  <si>
    <t>SL000199</t>
  </si>
  <si>
    <t>ANDRE LUIS ALEXANDRE CHRISANTO</t>
  </si>
  <si>
    <t>SL000200</t>
  </si>
  <si>
    <t>JEFERSON SIVEK</t>
  </si>
  <si>
    <t>SL000201</t>
  </si>
  <si>
    <t xml:space="preserve">AMANDA ELISA DIAS </t>
  </si>
  <si>
    <t>SL000202</t>
  </si>
  <si>
    <t>LEANDRO DE LIMA NACISO</t>
  </si>
  <si>
    <t>SL000212</t>
  </si>
  <si>
    <t>RONI CARLOS AGOSTINHO</t>
  </si>
  <si>
    <t>SL000214</t>
  </si>
  <si>
    <t>MANUELE CRISTINA VIDAL D/SILVA</t>
  </si>
  <si>
    <t>SL000223</t>
  </si>
  <si>
    <t>MARINES PAIFER MARTINS</t>
  </si>
  <si>
    <t>SL000245</t>
  </si>
  <si>
    <t>MARCIA REGINA TAVARES CORREIA</t>
  </si>
  <si>
    <t>SL000246</t>
  </si>
  <si>
    <t>HELITON CORDEIRO SALVADOR</t>
  </si>
  <si>
    <t>SL000247</t>
  </si>
  <si>
    <t>LAURA MONALISE PASSINI D/OLIV</t>
  </si>
  <si>
    <t>SL000248</t>
  </si>
  <si>
    <t>MARCELA MARTINS NUNES</t>
  </si>
  <si>
    <t>SL000249</t>
  </si>
  <si>
    <t>CRISTIANE F. CARDOSO</t>
  </si>
  <si>
    <t>SL000252</t>
  </si>
  <si>
    <t>RAFAEL RENATO NOVISK</t>
  </si>
  <si>
    <t>SL000256</t>
  </si>
  <si>
    <t>AUDE PEREIRA DA SILVA</t>
  </si>
  <si>
    <t>SL000258</t>
  </si>
  <si>
    <t>CLAUDEMIRA CALDEIRA A/CANDIDO</t>
  </si>
  <si>
    <t>SL000259</t>
  </si>
  <si>
    <t>AMILTON DE FREITAS SIQUEIRA</t>
  </si>
  <si>
    <t>SL000260</t>
  </si>
  <si>
    <t>EMERSON VENDERLI CEROM</t>
  </si>
  <si>
    <t>SL000264</t>
  </si>
  <si>
    <t>MARIA ROSANA CARDOSO D/SANTOS</t>
  </si>
  <si>
    <t>09/12/2025</t>
  </si>
  <si>
    <t>SL000269</t>
  </si>
  <si>
    <t>PAULO HENRIQUE SANTOS</t>
  </si>
  <si>
    <t>SL000270</t>
  </si>
  <si>
    <t>TANIA MARA COSTACURTA</t>
  </si>
  <si>
    <t>SL000271</t>
  </si>
  <si>
    <t>OMAR ANTONIO DA LUZ</t>
  </si>
  <si>
    <t>SL000272</t>
  </si>
  <si>
    <t>MARCO ANTONIO DOS S/RESENDE</t>
  </si>
  <si>
    <t>SL000274</t>
  </si>
  <si>
    <t>FILIPE RACHID DE O.</t>
  </si>
  <si>
    <t>SL000275</t>
  </si>
  <si>
    <t>RUBENS BONIERSKI</t>
  </si>
  <si>
    <t>SL000276</t>
  </si>
  <si>
    <t>ADRIANE DOS SANTOS SILVA</t>
  </si>
  <si>
    <t>SL000277</t>
  </si>
  <si>
    <t>CRISTIANE REGINA C.</t>
  </si>
  <si>
    <t>SL000278</t>
  </si>
  <si>
    <t>ALESSANDRO LACERDADE ASSIS</t>
  </si>
  <si>
    <t>SL000279</t>
  </si>
  <si>
    <t>REGINA APARECIDA TREMARIN</t>
  </si>
  <si>
    <t>SL000281</t>
  </si>
  <si>
    <t>LUCIARA GONÇALVES ARAUJO</t>
  </si>
  <si>
    <t>SL000282</t>
  </si>
  <si>
    <t>ALANA FERREIRA FERNANDES</t>
  </si>
  <si>
    <t>SL000283</t>
  </si>
  <si>
    <t>MARCO ANTONIO GOÇALVES MATOSO</t>
  </si>
  <si>
    <t>SL000284</t>
  </si>
  <si>
    <t>EDINA MARO LEINEKER CAMARGO</t>
  </si>
  <si>
    <t>SL000288</t>
  </si>
  <si>
    <t>JOAO FLAVIS DE PAULA</t>
  </si>
  <si>
    <t>SL000289</t>
  </si>
  <si>
    <t>MAURICIO CANEGA NETO</t>
  </si>
  <si>
    <t>SL000290</t>
  </si>
  <si>
    <t>TATIANA LETICIA GONÇALVES S/ D</t>
  </si>
  <si>
    <t>SL000292</t>
  </si>
  <si>
    <t xml:space="preserve">VICTOR HUGO BATISTA GONÇALVES </t>
  </si>
  <si>
    <t>SL000293</t>
  </si>
  <si>
    <t xml:space="preserve">MARIA JOSÉ COLLI DE LIMA </t>
  </si>
  <si>
    <t>SL000294</t>
  </si>
  <si>
    <t>CLEUSA LEMES DE OLIVEIRA</t>
  </si>
  <si>
    <t>SL000295</t>
  </si>
  <si>
    <t>SUZI M. R.KULRAK</t>
  </si>
  <si>
    <t>SL000297</t>
  </si>
  <si>
    <t>FELLIPE SANTORI DA SILVA</t>
  </si>
  <si>
    <t>SL000299</t>
  </si>
  <si>
    <t>VALDECIR DE ANDRADE PEREIRA</t>
  </si>
  <si>
    <t>SL000304</t>
  </si>
  <si>
    <t>DONIZETE DOS ANJOS O. DA SILVA</t>
  </si>
  <si>
    <t>SL000306</t>
  </si>
  <si>
    <t>SARAH M. GONÇALVES</t>
  </si>
  <si>
    <t>SL000307</t>
  </si>
  <si>
    <t>OSNI ARTURO FRANCISCO JUNIOR</t>
  </si>
  <si>
    <t>SL000309</t>
  </si>
  <si>
    <t>LEANDRO SOUZA DA SILVA</t>
  </si>
  <si>
    <t>SL000311</t>
  </si>
  <si>
    <t>FELIPE DA SILVA MACHADO</t>
  </si>
  <si>
    <t>SL000312</t>
  </si>
  <si>
    <t>PAULO HENRIQUE DE FRANÇA SILVA</t>
  </si>
  <si>
    <t>SL000313</t>
  </si>
  <si>
    <t>CAMILA GONSALVES</t>
  </si>
  <si>
    <t>17/01/2026</t>
  </si>
  <si>
    <t>SL000319</t>
  </si>
  <si>
    <t>RAIZZO FERNANDO WINCHE FRANCIS</t>
  </si>
  <si>
    <t>SL000320</t>
  </si>
  <si>
    <t>LUIZ FERNANDO DOS SANTOS</t>
  </si>
  <si>
    <t>SL000321</t>
  </si>
  <si>
    <t>ANDRÉ MUNHOZ DOS SANTOS LEAL</t>
  </si>
  <si>
    <t>SL000323</t>
  </si>
  <si>
    <t>KATIANE DO PILAR DAVIS</t>
  </si>
  <si>
    <t>SL000326</t>
  </si>
  <si>
    <t>GABRIELA APARECIDA P/ DE SOUZA</t>
  </si>
  <si>
    <t>SL000328</t>
  </si>
  <si>
    <t>CAROLINE TANOKO</t>
  </si>
  <si>
    <t>SL000331</t>
  </si>
  <si>
    <t>GABRIELLE DE SOUZA MENDES</t>
  </si>
  <si>
    <t>SL000332</t>
  </si>
  <si>
    <t>JOSUÉ AMORIM JUNIOR</t>
  </si>
  <si>
    <t>SL000333</t>
  </si>
  <si>
    <t>RAFHAELA SCHIDT DYBAS</t>
  </si>
  <si>
    <t>SL000347</t>
  </si>
  <si>
    <t>RIVAEL DOMBROSK</t>
  </si>
  <si>
    <t>SL000348</t>
  </si>
  <si>
    <t>KATHLEEN ANDRESSA FERREIRA</t>
  </si>
  <si>
    <t>SL000349</t>
  </si>
  <si>
    <t>MARCELUS NUEVO MIGUEL</t>
  </si>
  <si>
    <t>SL000350</t>
  </si>
  <si>
    <t>KLEBER RICARDO FLAVINO D/ SILV</t>
  </si>
  <si>
    <t>SL000351</t>
  </si>
  <si>
    <t>HELISLEI  DE SOUZA</t>
  </si>
  <si>
    <t>SL000353</t>
  </si>
  <si>
    <t>STEFHANY FELIX DOS SANTOS</t>
  </si>
  <si>
    <t>SL000354</t>
  </si>
  <si>
    <t>DENISE CORRÊA DOS SANTOS</t>
  </si>
  <si>
    <t>SL000360</t>
  </si>
  <si>
    <t>LETICIA GABRIELE DA SILVA</t>
  </si>
  <si>
    <t>SL000362</t>
  </si>
  <si>
    <t>IVAN GONÇALVES CORDEIRO</t>
  </si>
  <si>
    <t>SL000363</t>
  </si>
  <si>
    <t>ADRIANI DA SILVA RIBEIRO</t>
  </si>
  <si>
    <t>04/01/2026</t>
  </si>
  <si>
    <t>SL000364</t>
  </si>
  <si>
    <t>ROSANE APARECIDA MAIA GUBER</t>
  </si>
  <si>
    <t>SL000368</t>
  </si>
  <si>
    <t>ALINE ROBERT DA SILVA</t>
  </si>
  <si>
    <t>SL000371</t>
  </si>
  <si>
    <t>SILVIA SELENTO</t>
  </si>
  <si>
    <t>SL000375</t>
  </si>
  <si>
    <t>GUILHERME CUSTODIA BISPO</t>
  </si>
  <si>
    <t>SL000384</t>
  </si>
  <si>
    <t>IRINEU BENEDITO DE SÁ</t>
  </si>
  <si>
    <t>SL000385</t>
  </si>
  <si>
    <t>JEAN PAULO SANTOS D. SILVA</t>
  </si>
  <si>
    <t>SL000386</t>
  </si>
  <si>
    <t>ELIANDRO ALBERTO MORAWSKI</t>
  </si>
  <si>
    <t>SL000387</t>
  </si>
  <si>
    <t xml:space="preserve">LUIS FERNANDES VIVAS </t>
  </si>
  <si>
    <t>SL000389</t>
  </si>
  <si>
    <t>EDYMILSON GRANDE</t>
  </si>
  <si>
    <t>SL000390</t>
  </si>
  <si>
    <t>PATRÍCIA D. S.MACHADO DA SILVA</t>
  </si>
  <si>
    <t>SL000397</t>
  </si>
  <si>
    <t>RAMIRO LOPES PEREIRA</t>
  </si>
  <si>
    <t>SL000407</t>
  </si>
  <si>
    <t>CHRITIANY MATSUMOTO</t>
  </si>
  <si>
    <t>SL000408</t>
  </si>
  <si>
    <t>DANIELA SILVA DE SOUZA</t>
  </si>
  <si>
    <t>SL000409</t>
  </si>
  <si>
    <t>JOSE ADRIANO DUTRA</t>
  </si>
  <si>
    <t>SL000410</t>
  </si>
  <si>
    <t>SARAH SEVERINO MARTINS</t>
  </si>
  <si>
    <t>SL000411</t>
  </si>
  <si>
    <t>ELISANGELA MUANDA DA SILVA</t>
  </si>
  <si>
    <t>SL000412</t>
  </si>
  <si>
    <t>JOSE ALMIRO CARLETTO</t>
  </si>
  <si>
    <t>SL000413</t>
  </si>
  <si>
    <t>MIGUEL SIDNEI GOMES D/ SILVA</t>
  </si>
  <si>
    <t>SL000414</t>
  </si>
  <si>
    <t>PATRICIA GONÇALES</t>
  </si>
  <si>
    <t>SL000415</t>
  </si>
  <si>
    <t>OSNEI ALMEIDA DOS SANTOS</t>
  </si>
  <si>
    <t>SL000416</t>
  </si>
  <si>
    <t>JOSE FERNANDO ROSSA DE CAMARGO</t>
  </si>
  <si>
    <t>SL000417</t>
  </si>
  <si>
    <t>ODAIR MACHADO DA SILVA</t>
  </si>
  <si>
    <t>SL000418</t>
  </si>
  <si>
    <t>LUIZ EDUARDO DOS SANTOS</t>
  </si>
  <si>
    <t>SL000420</t>
  </si>
  <si>
    <t>CARLOS CANDIDO DE OLIVEIRA F.</t>
  </si>
  <si>
    <t>SL000421</t>
  </si>
  <si>
    <t xml:space="preserve">JULIO CESAR DOLCE DA SILVA </t>
  </si>
  <si>
    <t>SL000423</t>
  </si>
  <si>
    <t>MAKOTO OYAMA</t>
  </si>
  <si>
    <t>SL000424</t>
  </si>
  <si>
    <t>JOSIANE DE ARAUJO MOAR</t>
  </si>
  <si>
    <t>SL000425</t>
  </si>
  <si>
    <t>TAMARIS GUARNIERI</t>
  </si>
  <si>
    <t>SL000428</t>
  </si>
  <si>
    <t>MOACIR ANTONIO MALAQUIAS JUNIO</t>
  </si>
  <si>
    <t>SL000429</t>
  </si>
  <si>
    <t>ANDERSON DA SILVA</t>
  </si>
  <si>
    <t>SL000430</t>
  </si>
  <si>
    <t>ANGELA DE OLIVEIRA</t>
  </si>
  <si>
    <t>SL000431</t>
  </si>
  <si>
    <t>MARCELO LUIS SAPORETI LAMI</t>
  </si>
  <si>
    <t>SL000432</t>
  </si>
  <si>
    <t>ANA PAULA DOS SANTOS FRANÇA</t>
  </si>
  <si>
    <t>SL000433</t>
  </si>
  <si>
    <t>SANDRA REGINA MARTINEZ CAPEL</t>
  </si>
  <si>
    <t>SL000435</t>
  </si>
  <si>
    <t>EVALDO RICARDO</t>
  </si>
  <si>
    <t>SL000437</t>
  </si>
  <si>
    <t>VIVIEN DELITSCH F.</t>
  </si>
  <si>
    <t>SL000438</t>
  </si>
  <si>
    <t>MAGNO JOSE NASCIMENTO GOMES</t>
  </si>
  <si>
    <t>SL000440</t>
  </si>
  <si>
    <t>ANDRÉ LEONARDO P. CECHET</t>
  </si>
  <si>
    <t>SL000442</t>
  </si>
  <si>
    <t>RENAN G CORDEIRO</t>
  </si>
  <si>
    <t>SL000450</t>
  </si>
  <si>
    <t>REGINALDO MISSAU OSHIKAMA</t>
  </si>
  <si>
    <t>SL000454</t>
  </si>
  <si>
    <t>JESSICA M. FIO VALERIO</t>
  </si>
  <si>
    <t>SL000455</t>
  </si>
  <si>
    <t>RODRIGO GABRIEL BROTTO</t>
  </si>
  <si>
    <t>SL000456</t>
  </si>
  <si>
    <t xml:space="preserve">JOSMAR PEDRO </t>
  </si>
  <si>
    <t>SL000457</t>
  </si>
  <si>
    <t>ADRIANO DIONIZIO</t>
  </si>
  <si>
    <t>SL000458</t>
  </si>
  <si>
    <t>DAIANE KOROSKI LIMA</t>
  </si>
  <si>
    <t>SL000459</t>
  </si>
  <si>
    <t>ANA PAULA B. PEREIRA</t>
  </si>
  <si>
    <t>SL000461</t>
  </si>
  <si>
    <t>SALETE PESSATTI</t>
  </si>
  <si>
    <t>SL000462</t>
  </si>
  <si>
    <t>IZABELA TAIARELLA SIQUEIRA ALV</t>
  </si>
  <si>
    <t>SL000466</t>
  </si>
  <si>
    <t xml:space="preserve">FERNANDO P. DAS NEVES </t>
  </si>
  <si>
    <t>SL000469</t>
  </si>
  <si>
    <t>ANDERSON ATAIDE DE CAMPOS</t>
  </si>
  <si>
    <t>01/02/2026</t>
  </si>
  <si>
    <t>SL000472</t>
  </si>
  <si>
    <t xml:space="preserve">ROMARIO D/CASTRO ANDREATA NET </t>
  </si>
  <si>
    <t>SL000476</t>
  </si>
  <si>
    <t>JOAO MARCELLO FARIAS DA COSTA</t>
  </si>
  <si>
    <t>SL000480</t>
  </si>
  <si>
    <t>ANDERSON REGINALDO DE PAULA</t>
  </si>
  <si>
    <t>SL000482</t>
  </si>
  <si>
    <t>ANA PAULA SABINO MENDES</t>
  </si>
  <si>
    <t>SL000485</t>
  </si>
  <si>
    <t>CARLOS ALEXANDRE MARTINS</t>
  </si>
  <si>
    <t>SL000486</t>
  </si>
  <si>
    <t>CAROLINE SAMPAIO ANDREATA</t>
  </si>
  <si>
    <t>SL000487</t>
  </si>
  <si>
    <t xml:space="preserve">EMILY PEDROSO BARROS </t>
  </si>
  <si>
    <t>SL000488</t>
  </si>
  <si>
    <t>DIETRICK BASSFELD</t>
  </si>
  <si>
    <t>SL000489</t>
  </si>
  <si>
    <t>MARCIO JOSE AP/PEREIRA DE OLIV</t>
  </si>
  <si>
    <t>SL000490</t>
  </si>
  <si>
    <t>MARCELLA BERNARDO ADLER</t>
  </si>
  <si>
    <t>SL000491</t>
  </si>
  <si>
    <t>SERGIO TOKUNAGA</t>
  </si>
  <si>
    <t>SL000494</t>
  </si>
  <si>
    <t>CIBELE AP.DA SILVA DOS REIS S.</t>
  </si>
  <si>
    <t>SL000495</t>
  </si>
  <si>
    <t xml:space="preserve">SERGIO HENRIQUE DA SILVA </t>
  </si>
  <si>
    <t>SL000496</t>
  </si>
  <si>
    <t>DYORRANES MARLON PIRES</t>
  </si>
  <si>
    <t>SL000497</t>
  </si>
  <si>
    <t>ANDRE LUIS TORRES</t>
  </si>
  <si>
    <t>SL000503</t>
  </si>
  <si>
    <t>FABIO LUIZ DA COSTA FRANSCISCO</t>
  </si>
  <si>
    <t>SL000506</t>
  </si>
  <si>
    <t>LARISSA DO R.LOPES MARQUES</t>
  </si>
  <si>
    <t>SL000507</t>
  </si>
  <si>
    <t>EMERSON DE ARCEGA</t>
  </si>
  <si>
    <t>SL000512</t>
  </si>
  <si>
    <t>SILMAR BARBOSA</t>
  </si>
  <si>
    <t>SL000513</t>
  </si>
  <si>
    <t>MEURIELENA ROBERTA BEKON PAULA</t>
  </si>
  <si>
    <t>SL000514</t>
  </si>
  <si>
    <t>LOUISE BONZATO DOS SANTOS MART</t>
  </si>
  <si>
    <t>SL000517</t>
  </si>
  <si>
    <t xml:space="preserve">HELISON DE LIMOS REZENDE </t>
  </si>
  <si>
    <t>SL000522</t>
  </si>
  <si>
    <t>JUNDIMAR ORLONDELI GORCEZ</t>
  </si>
  <si>
    <t>SL000523</t>
  </si>
  <si>
    <t>MARCOS FERREIRA DE ALMEIDA</t>
  </si>
  <si>
    <t>SL000524</t>
  </si>
  <si>
    <t xml:space="preserve">RODRIGO ARAUJO </t>
  </si>
  <si>
    <t>SL000528</t>
  </si>
  <si>
    <t>IZABELE GONÇALVES LUZ</t>
  </si>
  <si>
    <t>SL000530</t>
  </si>
  <si>
    <t>VERIDIANA CASTRO CARDOSO</t>
  </si>
  <si>
    <t>SL000531</t>
  </si>
  <si>
    <t>CRISTIAN NUNES BERNARDES</t>
  </si>
  <si>
    <t>SL000534</t>
  </si>
  <si>
    <t>FERNANDA CRISTINA A. GONÇALVES</t>
  </si>
  <si>
    <t>SL000536</t>
  </si>
  <si>
    <t>WILLIAN PACHECO DOS SANTOS P.</t>
  </si>
  <si>
    <t>SL000539</t>
  </si>
  <si>
    <t>JULIANA DE SOUZA SILVA</t>
  </si>
  <si>
    <t>SL000545</t>
  </si>
  <si>
    <t>VIVIANE PEREIRA NASER</t>
  </si>
  <si>
    <t>SL000548</t>
  </si>
  <si>
    <t>ARTUR ROZIN</t>
  </si>
  <si>
    <t>SL000549</t>
  </si>
  <si>
    <t>ANA PAULA FERNANDES MALU</t>
  </si>
  <si>
    <t>SL000553</t>
  </si>
  <si>
    <t>PAULO ANDRE BASTOS DA SILVA</t>
  </si>
  <si>
    <t>SL000554</t>
  </si>
  <si>
    <t>DIOGENES GOMES VEIGA</t>
  </si>
  <si>
    <t>SL000555</t>
  </si>
  <si>
    <t>MOISES MARCONDES OLIVEIRA</t>
  </si>
  <si>
    <t>SL000556</t>
  </si>
  <si>
    <t>NATAN MARQUES</t>
  </si>
  <si>
    <t>SL000558</t>
  </si>
  <si>
    <t>CARLOS HENRIQUE DA SILVA</t>
  </si>
  <si>
    <t>SL000559</t>
  </si>
  <si>
    <t xml:space="preserve">REGIS MACHADO DA SILVEIRA </t>
  </si>
  <si>
    <t>SL000561</t>
  </si>
  <si>
    <t>LUCIANO FERREIRA DE OLIVEIRA</t>
  </si>
  <si>
    <t>SL000564</t>
  </si>
  <si>
    <t>GLORIA NOEMI DA SILVA</t>
  </si>
  <si>
    <t>SL000568</t>
  </si>
  <si>
    <t>IVANILDE TAVARES</t>
  </si>
  <si>
    <t>SL000569</t>
  </si>
  <si>
    <t>ANA CAROLINA D/FREITAS D/MOR</t>
  </si>
  <si>
    <t>SL000570</t>
  </si>
  <si>
    <t>ERIK FABIAN QUITERO GARCIA</t>
  </si>
  <si>
    <t>SL000575</t>
  </si>
  <si>
    <t>PATRÍCIA DE OLIVEIRA</t>
  </si>
  <si>
    <t>SL000576</t>
  </si>
  <si>
    <t>MAYLINI CAVALLI</t>
  </si>
  <si>
    <t>SL000577</t>
  </si>
  <si>
    <t>CASSIANE   ROUSIS DE LARA</t>
  </si>
  <si>
    <t>SL000579</t>
  </si>
  <si>
    <t>ELLBERT WAGNER DE ANDRADE D R.</t>
  </si>
  <si>
    <t>SL000580</t>
  </si>
  <si>
    <t>RAQUEL VALÉRIO DE ALMEIDA</t>
  </si>
  <si>
    <t>SL000581</t>
  </si>
  <si>
    <t>MATHEUS BORBA DOS SANTOS</t>
  </si>
  <si>
    <t>SL000582</t>
  </si>
  <si>
    <t>ANDREIA DE JESUS ALMEIDA B.</t>
  </si>
  <si>
    <t>SL000583</t>
  </si>
  <si>
    <t>CLEITON MARCIO CLAUDINO</t>
  </si>
  <si>
    <t>SL000584</t>
  </si>
  <si>
    <t>LORENA S.TEODORO</t>
  </si>
  <si>
    <t>SL000585</t>
  </si>
  <si>
    <t>JUAN ANTONIO MAUTECI</t>
  </si>
  <si>
    <t>SL000586</t>
  </si>
  <si>
    <t xml:space="preserve">LUANA DE PAULA </t>
  </si>
  <si>
    <t>SL000589</t>
  </si>
  <si>
    <t>CLAUDEIR SCHON</t>
  </si>
  <si>
    <t>SL000590</t>
  </si>
  <si>
    <t>ELISANGELA MARQUES DA SILVA</t>
  </si>
  <si>
    <t>SL000593</t>
  </si>
  <si>
    <t>LILIANE EMILIA DIAS M. PACHECO</t>
  </si>
  <si>
    <t>SL000594</t>
  </si>
  <si>
    <t>BRUNA DAYANE AGOSTINETI</t>
  </si>
  <si>
    <t>SL000595</t>
  </si>
  <si>
    <t>KLEBER ROGERIO D/OLIVEIRA SILV</t>
  </si>
  <si>
    <t>SL000597</t>
  </si>
  <si>
    <t>WILLIAN N. GONÇALVES BARROZO</t>
  </si>
  <si>
    <t>SL000605</t>
  </si>
  <si>
    <t>ROBISNEI ALVES DE SOUSA</t>
  </si>
  <si>
    <t>SL000607</t>
  </si>
  <si>
    <t>ANDRE LUIS DA COSTA PEREIRA</t>
  </si>
  <si>
    <t>SL000609</t>
  </si>
  <si>
    <t>MARCIO DE SOUZA SILVA CHAVINSK</t>
  </si>
  <si>
    <t>SL000615</t>
  </si>
  <si>
    <t>JEANN CARLO BRUNKHORST</t>
  </si>
  <si>
    <t>SL000620</t>
  </si>
  <si>
    <t>DANIELE TRINDADE DOS SANTOS</t>
  </si>
  <si>
    <t>SL000621</t>
  </si>
  <si>
    <t>WELLINGTON MENDES PALHAO</t>
  </si>
  <si>
    <t>SL000622</t>
  </si>
  <si>
    <t xml:space="preserve">FLAVIA B. PEREIRA </t>
  </si>
  <si>
    <t>SL000623</t>
  </si>
  <si>
    <t>FRANCISCO MARCONDES DE LIMA NE</t>
  </si>
  <si>
    <t>SL000624</t>
  </si>
  <si>
    <t>INÊS  ALZAWA  NUNES</t>
  </si>
  <si>
    <t>SL000625</t>
  </si>
  <si>
    <t>YAACOV BEN YEHUDAH ALVES BOCCI</t>
  </si>
  <si>
    <t>SL000626</t>
  </si>
  <si>
    <t>GESONITA ALMEIDA SILVEIRA COST</t>
  </si>
  <si>
    <t>SL000629</t>
  </si>
  <si>
    <t xml:space="preserve">ALEX BALTAZAR PEREIRA </t>
  </si>
  <si>
    <t>SL000631</t>
  </si>
  <si>
    <t>LEONILDO DOS REIS</t>
  </si>
  <si>
    <t>SL000632</t>
  </si>
  <si>
    <t>ROBERTO PIRES DE FRANÇA</t>
  </si>
  <si>
    <t>SL000636</t>
  </si>
  <si>
    <t xml:space="preserve">ISABELLA BARLOSA </t>
  </si>
  <si>
    <t>SL000637</t>
  </si>
  <si>
    <t>VIVIANE DIAS GONÇALVES</t>
  </si>
  <si>
    <t>SL000638</t>
  </si>
  <si>
    <t>WILLIAN CABRAL BERNARDO</t>
  </si>
  <si>
    <t>SL000640</t>
  </si>
  <si>
    <t>DANIEL AUGUSTO SILVO</t>
  </si>
  <si>
    <t>SL000641</t>
  </si>
  <si>
    <t xml:space="preserve">MARCOS WELLINGTON DA SILVA </t>
  </si>
  <si>
    <t>SL000642</t>
  </si>
  <si>
    <t>JAYCE KELLY ELIAS</t>
  </si>
  <si>
    <t>SL000644</t>
  </si>
  <si>
    <t>ALEX SANDRO DA SILVA MORAES</t>
  </si>
  <si>
    <t>SL000648</t>
  </si>
  <si>
    <t>ANDRE LUIS ALVES M.</t>
  </si>
  <si>
    <t>SL000649</t>
  </si>
  <si>
    <t xml:space="preserve">KATHERINE ANGEL G. W. CESAR </t>
  </si>
  <si>
    <t>SL000650</t>
  </si>
  <si>
    <t xml:space="preserve">PAULO ROBERTO </t>
  </si>
  <si>
    <t>SL000653</t>
  </si>
  <si>
    <t>LEANDRO GIOMA GONÇALVES</t>
  </si>
  <si>
    <t>SL000657</t>
  </si>
  <si>
    <t>GELSON MACHADO</t>
  </si>
  <si>
    <t>SL000659</t>
  </si>
  <si>
    <t>FÁTIMA LUCIANA COSTA LUZ</t>
  </si>
  <si>
    <t>SL000661</t>
  </si>
  <si>
    <t>RICHARD JUAN ALENCASTRO H.</t>
  </si>
  <si>
    <t>SL000663</t>
  </si>
  <si>
    <t>MARA CRISTINA DE ROSÁRIO D.</t>
  </si>
  <si>
    <t>SL000664</t>
  </si>
  <si>
    <t>ELIESE BENETI DA SILVA ANDRADE</t>
  </si>
  <si>
    <t>SL000666</t>
  </si>
  <si>
    <t>ANTONIO MARCOS FERNANDO NETO</t>
  </si>
  <si>
    <t>SL000667</t>
  </si>
  <si>
    <t>SERLI SALETE T. MOREIRA</t>
  </si>
  <si>
    <t>SL000668</t>
  </si>
  <si>
    <t>MARESSA DO ROSÁRIO PEREIRA</t>
  </si>
  <si>
    <t>SL000672</t>
  </si>
  <si>
    <t>DANIELA DO ROCIO ALVES B.</t>
  </si>
  <si>
    <t>SL000675</t>
  </si>
  <si>
    <t>NEIVA DA PENHA PRIETO CAILLOT</t>
  </si>
  <si>
    <t>SL000676</t>
  </si>
  <si>
    <t>LETICIA MAGDA RICARDO</t>
  </si>
  <si>
    <t>SL000677</t>
  </si>
  <si>
    <t>ELIELTON FERREIRA PEDROSA</t>
  </si>
  <si>
    <t>SL000678</t>
  </si>
  <si>
    <t>ANDRÉ LUIZ DA COSTA MENDES</t>
  </si>
  <si>
    <t>SL000680</t>
  </si>
  <si>
    <t>MATHEUS MOBELLI DO CARMO</t>
  </si>
  <si>
    <t>SL000681</t>
  </si>
  <si>
    <t>BEATRIZ COSTA NEVES D.</t>
  </si>
  <si>
    <t>SL000682</t>
  </si>
  <si>
    <t>MARIA JAKELLYNE RIBEIRO FEITOZ</t>
  </si>
  <si>
    <t>SL000684</t>
  </si>
  <si>
    <t>GRACE KELLY DE SOUZA MACIO REZ</t>
  </si>
  <si>
    <t>SL000691</t>
  </si>
  <si>
    <t xml:space="preserve">LEANDRO CARVALHO VIEIRA </t>
  </si>
  <si>
    <t>SL000692</t>
  </si>
  <si>
    <t>JOSÉ AUGUSTO HASMATIUK PESEL</t>
  </si>
  <si>
    <t>10/01/0026</t>
  </si>
  <si>
    <t>SL000693</t>
  </si>
  <si>
    <t>CLAUDEMIR DOS SANTOS</t>
  </si>
  <si>
    <t>SL000697</t>
  </si>
  <si>
    <t>ANTONIO ALEXANDRE LAUTHARTH</t>
  </si>
  <si>
    <t>SL000698</t>
  </si>
  <si>
    <t>EDSON JOSE ROSSI</t>
  </si>
  <si>
    <t>SL000699</t>
  </si>
  <si>
    <t>LEANDRO M. FERREIRA</t>
  </si>
  <si>
    <t>SL000700</t>
  </si>
  <si>
    <t>RODRIGO MOTTA</t>
  </si>
  <si>
    <t>SL000702</t>
  </si>
  <si>
    <t>DAIANE CRISTINA FERONATO D/SAN</t>
  </si>
  <si>
    <t>SL000703</t>
  </si>
  <si>
    <t>JOSUE MATEUS DE SOUZA</t>
  </si>
  <si>
    <t>SL000704</t>
  </si>
  <si>
    <t>LUIZ FERNANDO ZANON</t>
  </si>
  <si>
    <t>SL000716</t>
  </si>
  <si>
    <t>ROBSON CORREA DA CRUZ</t>
  </si>
  <si>
    <t>SL000719</t>
  </si>
  <si>
    <t>AMIANO DA COSTA RODRIGUES</t>
  </si>
  <si>
    <t>SL000732</t>
  </si>
  <si>
    <t>RAPHAEL TARTARA PESCAROLO</t>
  </si>
  <si>
    <t>SL000733</t>
  </si>
  <si>
    <t>JEAN MARCEL NUNES CARDOSO</t>
  </si>
  <si>
    <t>SL000735</t>
  </si>
  <si>
    <t>LUIS CESAR DE MELO</t>
  </si>
  <si>
    <t>SL000736</t>
  </si>
  <si>
    <t>MARCIA GLETO DA SILVA</t>
  </si>
  <si>
    <t>SL000739</t>
  </si>
  <si>
    <t>ADRIANA   JESUS  MACEIA</t>
  </si>
  <si>
    <t>SL000742</t>
  </si>
  <si>
    <t>ERIKA BRAGUIN</t>
  </si>
  <si>
    <t>SL000747</t>
  </si>
  <si>
    <t>KAUÊ MAUSQUER PERELLO</t>
  </si>
  <si>
    <t>SL000752</t>
  </si>
  <si>
    <t>FERNANDA MERINO D/SOUZA</t>
  </si>
  <si>
    <t>SL000766</t>
  </si>
  <si>
    <t>ARIADNE GABRIELE MARTINS</t>
  </si>
  <si>
    <t>DUO</t>
  </si>
  <si>
    <t>FAMILIAR</t>
  </si>
  <si>
    <t xml:space="preserve">TIPO DO PLANO </t>
  </si>
  <si>
    <t xml:space="preserve">BOLETO </t>
  </si>
  <si>
    <t>CARTÃO CREDITO</t>
  </si>
  <si>
    <t>CARTÃO RECORRENTE</t>
  </si>
  <si>
    <t xml:space="preserve">MISTO </t>
  </si>
  <si>
    <t xml:space="preserve">R$TOTAL FÉRIAS FACIL </t>
  </si>
  <si>
    <t>Nº DIAS DA VENDA</t>
  </si>
  <si>
    <t xml:space="preserve">Nº PARCELAS </t>
  </si>
  <si>
    <t>R$ PARCELA</t>
  </si>
  <si>
    <t>R$ PARCELADO</t>
  </si>
  <si>
    <t>R$ A VISTA</t>
  </si>
  <si>
    <t>R$ TOTAL PARCELAS</t>
  </si>
  <si>
    <t>RECORRENTE</t>
  </si>
  <si>
    <t>Total Geral</t>
  </si>
  <si>
    <t>Soma de R$ PARCELADO</t>
  </si>
  <si>
    <t>Soma de R$ A VISTA</t>
  </si>
  <si>
    <t xml:space="preserve">Soma de R$TOTAL FÉRIAS FACIL </t>
  </si>
  <si>
    <t>Plano</t>
  </si>
  <si>
    <t>PARCELADO</t>
  </si>
  <si>
    <t>R$ Parcelado Receber</t>
  </si>
  <si>
    <t>Soma de R$ Parcelado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</si>
</sst>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MS Sans Serif"/>
    </font>
    <font>
      <b/>
      <sz val="8"/>
      <name val="MS Sans Serif"/>
    </font>
    <font>
      <b/>
      <sz val="8"/>
      <color theme="0"/>
      <name val="MS Sans Serif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44" fontId="0" fillId="0" borderId="1" xfId="1" applyFont="1" applyBorder="1"/>
    <xf numFmtId="0" fontId="0" fillId="0" borderId="0" xfId="0" applyAlignment="1">
      <alignment horizontal="center"/>
    </xf>
    <xf numFmtId="0" fontId="3" fillId="2" borderId="0" xfId="2" applyFont="1" applyFill="1"/>
    <xf numFmtId="0" fontId="3" fillId="2" borderId="0" xfId="2" applyFont="1" applyFill="1" applyAlignment="1">
      <alignment horizontal="center"/>
    </xf>
    <xf numFmtId="0" fontId="4" fillId="3" borderId="0" xfId="2" applyFont="1" applyFill="1" applyAlignment="1">
      <alignment horizontal="center"/>
    </xf>
    <xf numFmtId="0" fontId="2" fillId="0" borderId="0" xfId="2"/>
    <xf numFmtId="0" fontId="2" fillId="0" borderId="0" xfId="2" applyAlignment="1">
      <alignment horizontal="center"/>
    </xf>
    <xf numFmtId="14" fontId="2" fillId="0" borderId="0" xfId="2" applyNumberFormat="1"/>
    <xf numFmtId="164" fontId="2" fillId="0" borderId="0" xfId="1" applyNumberFormat="1" applyFont="1" applyBorder="1" applyAlignment="1">
      <alignment horizontal="center"/>
    </xf>
    <xf numFmtId="44" fontId="2" fillId="0" borderId="0" xfId="1" applyFont="1" applyBorder="1" applyAlignment="1">
      <alignment horizontal="center"/>
    </xf>
    <xf numFmtId="44" fontId="2" fillId="0" borderId="0" xfId="2" applyNumberFormat="1"/>
    <xf numFmtId="1" fontId="2" fillId="0" borderId="0" xfId="2" applyNumberFormat="1" applyAlignment="1">
      <alignment horizontal="center"/>
    </xf>
    <xf numFmtId="14" fontId="2" fillId="0" borderId="0" xfId="2" applyNumberFormat="1" applyAlignment="1">
      <alignment horizontal="left"/>
    </xf>
    <xf numFmtId="44" fontId="4" fillId="4" borderId="1" xfId="1" applyFont="1" applyFill="1" applyBorder="1"/>
    <xf numFmtId="44" fontId="2" fillId="0" borderId="1" xfId="1" applyFont="1" applyBorder="1" applyAlignment="1">
      <alignment horizontal="center"/>
    </xf>
    <xf numFmtId="44" fontId="2" fillId="0" borderId="1" xfId="1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/>
    <xf numFmtId="44" fontId="5" fillId="0" borderId="1" xfId="0" applyNumberFormat="1" applyFont="1" applyBorder="1"/>
    <xf numFmtId="44" fontId="5" fillId="0" borderId="0" xfId="0" applyNumberFormat="1" applyFont="1"/>
    <xf numFmtId="0" fontId="0" fillId="5" borderId="0" xfId="0" applyFill="1"/>
    <xf numFmtId="0" fontId="0" fillId="5" borderId="0" xfId="0" applyFill="1" applyAlignment="1">
      <alignment horizontal="center"/>
    </xf>
    <xf numFmtId="14" fontId="5" fillId="0" borderId="0" xfId="0" applyNumberFormat="1" applyFont="1" applyAlignment="1">
      <alignment horizontal="center"/>
    </xf>
    <xf numFmtId="14" fontId="2" fillId="0" borderId="0" xfId="2" applyNumberFormat="1" applyAlignment="1">
      <alignment horizontal="center"/>
    </xf>
    <xf numFmtId="0" fontId="0" fillId="6" borderId="0" xfId="0" applyFill="1"/>
    <xf numFmtId="0" fontId="0" fillId="6" borderId="0" xfId="0" applyNumberFormat="1" applyFill="1" applyAlignment="1">
      <alignment horizontal="left"/>
    </xf>
    <xf numFmtId="44" fontId="0" fillId="6" borderId="0" xfId="0" applyNumberFormat="1" applyFill="1"/>
    <xf numFmtId="0" fontId="0" fillId="6" borderId="0" xfId="0" applyFill="1" applyAlignment="1">
      <alignment horizontal="center"/>
    </xf>
    <xf numFmtId="0" fontId="6" fillId="7" borderId="0" xfId="0" applyNumberFormat="1" applyFont="1" applyFill="1"/>
    <xf numFmtId="44" fontId="0" fillId="0" borderId="0" xfId="0" applyNumberFormat="1"/>
    <xf numFmtId="44" fontId="4" fillId="8" borderId="1" xfId="1" applyFont="1" applyFill="1" applyBorder="1"/>
    <xf numFmtId="0" fontId="4" fillId="8" borderId="0" xfId="2" applyFont="1" applyFill="1" applyAlignment="1">
      <alignment horizontal="center"/>
    </xf>
  </cellXfs>
  <cellStyles count="3">
    <cellStyle name="Moeda" xfId="1" builtinId="4"/>
    <cellStyle name="Normal" xfId="0" builtinId="0"/>
    <cellStyle name="Normal 2" xfId="2" xr:uid="{CAAE785F-D467-4397-BEFF-006FAED476AF}"/>
  </cellStyles>
  <dxfs count="296"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scheme val="none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scheme val="none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0"/>
      </font>
    </dxf>
    <dxf>
      <fill>
        <patternFill patternType="solid">
          <bgColor theme="6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[Fechamento Aguas Claras_31-03.xlsx]Análise!Tabela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Fechamento Águas Claras</a:t>
            </a:r>
          </a:p>
        </c:rich>
      </c:tx>
      <c:layout>
        <c:manualLayout>
          <c:xMode val="edge"/>
          <c:yMode val="edge"/>
          <c:x val="0.28137024055906557"/>
          <c:y val="2.9467492515683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122719069546171E-2"/>
          <c:y val="0.11954897749001317"/>
          <c:w val="0.5846078302712161"/>
          <c:h val="0.8353747448235638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Soma de R$ PARCELADO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 VISTA</c:v>
                </c:pt>
                <c:pt idx="1">
                  <c:v>PARCELADO</c:v>
                </c:pt>
              </c:strCache>
            </c:strRef>
          </c:cat>
          <c:val>
            <c:numRef>
              <c:f>Análise!$B$2:$B$4</c:f>
              <c:numCache>
                <c:formatCode>_("R$"* #,##0.00_);_("R$"* \(#,##0.00\);_("R$"* "-"??_);_(@_)</c:formatCode>
                <c:ptCount val="2"/>
                <c:pt idx="1">
                  <c:v>107082.28999999992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BE-48A6-ACB7-9465222A7F22}"/>
            </c:ext>
          </c:extLst>
        </c:ser>
        <c:ser>
          <c:idx val="1"/>
          <c:order val="1"/>
          <c:tx>
            <c:strRef>
              <c:f>Análise!$C$1</c:f>
              <c:strCache>
                <c:ptCount val="1"/>
                <c:pt idx="0">
                  <c:v>Soma de R$ Parcelado Receber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 VISTA</c:v>
                </c:pt>
                <c:pt idx="1">
                  <c:v>PARCELADO</c:v>
                </c:pt>
              </c:strCache>
            </c:strRef>
          </c:cat>
          <c:val>
            <c:numRef>
              <c:f>Análise!$C$2:$C$4</c:f>
              <c:numCache>
                <c:formatCode>_("R$"* #,##0.00_);_("R$"* \(#,##0.00\);_("R$"* "-"??_);_(@_)</c:formatCode>
                <c:ptCount val="2"/>
                <c:pt idx="1">
                  <c:v>184143.71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BE-48A6-ACB7-9465222A7F22}"/>
            </c:ext>
          </c:extLst>
        </c:ser>
        <c:ser>
          <c:idx val="2"/>
          <c:order val="2"/>
          <c:tx>
            <c:strRef>
              <c:f>Análise!$D$1</c:f>
              <c:strCache>
                <c:ptCount val="1"/>
                <c:pt idx="0">
                  <c:v>Soma de R$ A VISTA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 VISTA</c:v>
                </c:pt>
                <c:pt idx="1">
                  <c:v>PARCELADO</c:v>
                </c:pt>
              </c:strCache>
            </c:strRef>
          </c:cat>
          <c:val>
            <c:numRef>
              <c:f>Análise!$D$2:$D$4</c:f>
              <c:numCache>
                <c:formatCode>_("R$"* #,##0.00_);_("R$"* \(#,##0.00\);_("R$"* "-"??_);_(@_)</c:formatCode>
                <c:ptCount val="2"/>
                <c:pt idx="0">
                  <c:v>256542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BE-48A6-ACB7-9465222A7F22}"/>
            </c:ext>
          </c:extLst>
        </c:ser>
        <c:ser>
          <c:idx val="3"/>
          <c:order val="3"/>
          <c:tx>
            <c:strRef>
              <c:f>Análise!$E$1</c:f>
              <c:strCache>
                <c:ptCount val="1"/>
                <c:pt idx="0">
                  <c:v>Soma de R$TOTAL FÉRIAS FACIL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 VISTA</c:v>
                </c:pt>
                <c:pt idx="1">
                  <c:v>PARCELADO</c:v>
                </c:pt>
              </c:strCache>
            </c:strRef>
          </c:cat>
          <c:val>
            <c:numRef>
              <c:f>Análise!$E$2:$E$4</c:f>
              <c:numCache>
                <c:formatCode>_("R$"* #,##0.00_);_("R$"* \(#,##0.00\);_("R$"* "-"??_);_(@_)</c:formatCode>
                <c:ptCount val="2"/>
                <c:pt idx="0">
                  <c:v>256542</c:v>
                </c:pt>
                <c:pt idx="1">
                  <c:v>291226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3F-440A-BA26-D79E74705C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2416048"/>
        <c:axId val="1062407888"/>
      </c:barChart>
      <c:catAx>
        <c:axId val="10624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2407888"/>
        <c:crosses val="autoZero"/>
        <c:auto val="1"/>
        <c:lblAlgn val="ctr"/>
        <c:lblOffset val="100"/>
        <c:noMultiLvlLbl val="0"/>
      </c:catAx>
      <c:valAx>
        <c:axId val="1062407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0624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</xdr:row>
      <xdr:rowOff>123825</xdr:rowOff>
    </xdr:from>
    <xdr:to>
      <xdr:col>1</xdr:col>
      <xdr:colOff>1171575</xdr:colOff>
      <xdr:row>11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PLANO">
              <a:extLst>
                <a:ext uri="{FF2B5EF4-FFF2-40B4-BE49-F238E27FC236}">
                  <a16:creationId xmlns:a16="http://schemas.microsoft.com/office/drawing/2014/main" id="{EA92E844-1C78-535D-5430-E2B41404E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076325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1257299</xdr:colOff>
      <xdr:row>5</xdr:row>
      <xdr:rowOff>138111</xdr:rowOff>
    </xdr:from>
    <xdr:to>
      <xdr:col>5</xdr:col>
      <xdr:colOff>238125</xdr:colOff>
      <xdr:row>27</xdr:row>
      <xdr:rowOff>161925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F419FE03-52C4-F523-DE04-71B708C91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y Souza" refreshedDate="46120.645534953706" createdVersion="8" refreshedVersion="8" minRefreshableVersion="3" recordCount="534" xr:uid="{9610364E-5CD5-4490-9FD1-37DA353B4493}">
  <cacheSource type="worksheet">
    <worksheetSource name="Tabela2"/>
  </cacheSource>
  <cacheFields count="14">
    <cacheField name="TITULO" numFmtId="0">
      <sharedItems/>
    </cacheField>
    <cacheField name="Nº DIAS DA VENDA" numFmtId="0">
      <sharedItems containsString="0" containsBlank="1" containsNumber="1" containsInteger="1" minValue="47" maxValue="178"/>
    </cacheField>
    <cacheField name="Nº PARCELAS " numFmtId="0">
      <sharedItems containsString="0" containsBlank="1" containsNumber="1" minValue="2.3333333333333335" maxValue="5.9333333333333336"/>
    </cacheField>
    <cacheField name="R$ PARCELA" numFmtId="0">
      <sharedItems containsString="0" containsBlank="1" containsNumber="1" minValue="49.9" maxValue="99.9"/>
    </cacheField>
    <cacheField name="R$ TOTAL PARCELAS" numFmtId="0">
      <sharedItems containsString="0" containsBlank="1" containsNumber="1" minValue="116.43333333333334" maxValue="592.74"/>
    </cacheField>
    <cacheField name="TIPO DO PLANO " numFmtId="0">
      <sharedItems/>
    </cacheField>
    <cacheField name="EM_PODER" numFmtId="0">
      <sharedItems/>
    </cacheField>
    <cacheField name="PLANO" numFmtId="0">
      <sharedItems count="2">
        <s v="A VISTA"/>
        <s v="RECORRENTE"/>
      </sharedItems>
    </cacheField>
    <cacheField name="DTVENDA" numFmtId="14">
      <sharedItems containsDate="1" containsMixedTypes="1" minDate="2025-10-30T00:00:00" maxDate="2026-01-01T00:00:00"/>
    </cacheField>
    <cacheField name="VRTOTALCONTRATO" numFmtId="164">
      <sharedItems containsSemiMixedTypes="0" containsString="0" containsNumber="1" minValue="2039.03" maxValue="12381.9"/>
    </cacheField>
    <cacheField name="R$TOTAL FÉRIAS FACIL " numFmtId="44">
      <sharedItems containsSemiMixedTypes="0" containsString="0" containsNumber="1" containsInteger="1" minValue="598" maxValue="1196"/>
    </cacheField>
    <cacheField name="R$ PARCELADO" numFmtId="0">
      <sharedItems containsString="0" containsBlank="1" containsNumber="1" minValue="116.43333333333334" maxValue="592.74"/>
    </cacheField>
    <cacheField name="R$ Parcelado Receber" numFmtId="44">
      <sharedItems containsString="0" containsBlank="1" containsNumber="1" minValue="301.92666666666668" maxValue="942.92"/>
    </cacheField>
    <cacheField name="R$ A VISTA" numFmtId="0">
      <sharedItems containsString="0" containsBlank="1" containsNumber="1" containsInteger="1" minValue="598" maxValue="1196"/>
    </cacheField>
  </cacheFields>
  <extLst>
    <ext xmlns:x14="http://schemas.microsoft.com/office/spreadsheetml/2009/9/main" uri="{725AE2AE-9491-48be-B2B4-4EB974FC3084}">
      <x14:pivotCacheDefinition pivotCacheId="1367853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s v="OD000024"/>
    <n v="132"/>
    <m/>
    <m/>
    <m/>
    <s v="DUO"/>
    <s v="THAYRINE SILVEIRA"/>
    <x v="0"/>
    <s v="27/11/2025"/>
    <n v="2244"/>
    <n v="598"/>
    <m/>
    <m/>
    <n v="598"/>
  </r>
  <r>
    <s v="OD000025"/>
    <n v="131"/>
    <n v="4.3666666666666663"/>
    <n v="49.9"/>
    <n v="217.89666666666665"/>
    <s v="DUO"/>
    <s v="SILVANO DA SILVA COUTINHO"/>
    <x v="1"/>
    <s v="28/11/2025"/>
    <n v="2040"/>
    <n v="598"/>
    <n v="217.89666666666665"/>
    <n v="380.10333333333335"/>
    <m/>
  </r>
  <r>
    <s v="OD000036"/>
    <n v="117"/>
    <m/>
    <m/>
    <m/>
    <s v="DUO"/>
    <s v="NADIA ANDREIA ZAKALUGEM R"/>
    <x v="0"/>
    <s v="12/12/2025"/>
    <n v="2244"/>
    <n v="598"/>
    <m/>
    <m/>
    <n v="598"/>
  </r>
  <r>
    <s v="OD000049"/>
    <n v="98"/>
    <n v="3.2666666666666666"/>
    <n v="49.9"/>
    <n v="163.00666666666666"/>
    <s v="DUO"/>
    <s v="WILLIAM ROMARIO SOUZA FARIAS"/>
    <x v="1"/>
    <s v="31/12/2025"/>
    <n v="2820"/>
    <n v="598"/>
    <n v="163.00666666666666"/>
    <n v="434.99333333333334"/>
    <m/>
  </r>
  <r>
    <s v="OD000063"/>
    <n v="98"/>
    <m/>
    <m/>
    <m/>
    <s v="DUO"/>
    <s v="JULIANA CRISTINE LEMES KOSOP"/>
    <x v="0"/>
    <s v="31/12/2025"/>
    <n v="2244"/>
    <n v="598"/>
    <m/>
    <m/>
    <n v="598"/>
  </r>
  <r>
    <s v="OD000072"/>
    <n v="85"/>
    <n v="2.8333333333333335"/>
    <n v="49.9"/>
    <n v="141.38333333333333"/>
    <s v="DUO"/>
    <s v="DIEGO PADO"/>
    <x v="1"/>
    <s v="13/01/2026"/>
    <n v="2640"/>
    <n v="598"/>
    <n v="141.38333333333333"/>
    <n v="456.61666666666667"/>
    <m/>
  </r>
  <r>
    <s v="OL000004"/>
    <n v="168"/>
    <m/>
    <m/>
    <m/>
    <s v="FAMILIAR"/>
    <s v="ELTON C PINHEIRO"/>
    <x v="0"/>
    <s v="22/10/2025"/>
    <n v="4611.96"/>
    <n v="1196"/>
    <m/>
    <m/>
    <n v="1196"/>
  </r>
  <r>
    <s v="OL000005"/>
    <n v="166"/>
    <m/>
    <m/>
    <m/>
    <s v="FAMILIAR"/>
    <s v="ROSANGELA LOPES CAPETTI"/>
    <x v="0"/>
    <s v="24/10/2025"/>
    <n v="4611.96"/>
    <n v="1196"/>
    <m/>
    <m/>
    <n v="1196"/>
  </r>
  <r>
    <s v="OL000007"/>
    <n v="160"/>
    <m/>
    <m/>
    <m/>
    <s v="FAMILIAR"/>
    <s v="EMERSON LUIZ COLOMBES"/>
    <x v="0"/>
    <d v="2025-10-30T00:00:00"/>
    <n v="4611.96"/>
    <n v="1196"/>
    <m/>
    <m/>
    <n v="1196"/>
  </r>
  <r>
    <s v="OL000008"/>
    <n v="160"/>
    <m/>
    <m/>
    <m/>
    <s v="FAMILIAR"/>
    <s v="WLIANE RICHELLE SOSNITZKI MARM"/>
    <x v="0"/>
    <s v="30/10/2025"/>
    <n v="4611.96"/>
    <n v="1196"/>
    <m/>
    <m/>
    <n v="1196"/>
  </r>
  <r>
    <s v="OL000010"/>
    <n v="156"/>
    <m/>
    <m/>
    <m/>
    <s v="FAMILIAR"/>
    <s v="CAROLINE IVONE DA LUZ TEIXEIRA"/>
    <x v="0"/>
    <s v="03/11/2025"/>
    <n v="7011.96"/>
    <n v="1196"/>
    <m/>
    <m/>
    <n v="1196"/>
  </r>
  <r>
    <s v="OL000011"/>
    <n v="153"/>
    <n v="5.0999999999999996"/>
    <n v="99.9"/>
    <n v="509.49"/>
    <s v="FAMILIAR"/>
    <s v="FILIPE SILVANO ZANARDI"/>
    <x v="1"/>
    <s v="06/11/2025"/>
    <n v="6681.96"/>
    <n v="1196"/>
    <n v="509.49"/>
    <n v="686.51"/>
    <m/>
  </r>
  <r>
    <s v="OL000013"/>
    <n v="152"/>
    <n v="5.0666666666666664"/>
    <n v="99.9"/>
    <n v="506.16"/>
    <s v="FAMILIAR"/>
    <s v="FABIANA PAULA DOS SANTOS ARAUJ"/>
    <x v="1"/>
    <s v="07/11/2025"/>
    <n v="7881.96"/>
    <n v="1196"/>
    <n v="506.16"/>
    <n v="689.83999999999992"/>
    <m/>
  </r>
  <r>
    <s v="OL000015"/>
    <n v="152"/>
    <m/>
    <m/>
    <m/>
    <s v="FAMILIAR"/>
    <s v="ALISON FERREIRA PIRES"/>
    <x v="0"/>
    <s v="07/11/2025"/>
    <n v="6681.96"/>
    <n v="1196"/>
    <m/>
    <m/>
    <n v="1196"/>
  </r>
  <r>
    <s v="OL000016"/>
    <n v="152"/>
    <n v="5.0666666666666664"/>
    <n v="99.9"/>
    <n v="506.16"/>
    <s v="FAMILIAR"/>
    <s v="RAFAEL DOS SANTOS LOURENÇO"/>
    <x v="1"/>
    <s v="07/11/2025"/>
    <n v="6681.96"/>
    <n v="1196"/>
    <n v="506.16"/>
    <n v="689.83999999999992"/>
    <m/>
  </r>
  <r>
    <s v="OL000018"/>
    <n v="141"/>
    <m/>
    <m/>
    <m/>
    <s v="FAMILIAR"/>
    <s v="GEISIANE SANTOS PEREIRA"/>
    <x v="0"/>
    <s v="18/11/2025"/>
    <n v="4611.96"/>
    <n v="1196"/>
    <m/>
    <m/>
    <n v="1196"/>
  </r>
  <r>
    <s v="OL000020"/>
    <n v="140"/>
    <m/>
    <m/>
    <m/>
    <s v="FAMILIAR"/>
    <s v="IRINEU GREGORIO CHANDOCHA"/>
    <x v="0"/>
    <s v="19/11/2025"/>
    <n v="4611.96"/>
    <n v="1196"/>
    <m/>
    <m/>
    <n v="1196"/>
  </r>
  <r>
    <s v="OL000021"/>
    <n v="139"/>
    <m/>
    <m/>
    <m/>
    <s v="FAMILIAR"/>
    <s v="BRUNO MARTINS LOURENCO "/>
    <x v="0"/>
    <s v="20/11/2025"/>
    <n v="4611.96"/>
    <n v="1196"/>
    <m/>
    <m/>
    <n v="1196"/>
  </r>
  <r>
    <s v="OL000022"/>
    <n v="138"/>
    <m/>
    <m/>
    <m/>
    <s v="FAMILIAR"/>
    <s v="JEAN CARLOS GRACIOTTO"/>
    <x v="0"/>
    <s v="21/11/2025"/>
    <n v="4611.96"/>
    <n v="1196"/>
    <m/>
    <m/>
    <n v="1196"/>
  </r>
  <r>
    <s v="OL000023"/>
    <n v="137"/>
    <m/>
    <m/>
    <m/>
    <s v="FAMILIAR"/>
    <s v="CRISTIANE D/LUZ MACHADO D/SOUZ"/>
    <x v="0"/>
    <s v="22/11/2025"/>
    <n v="4611.96"/>
    <n v="1196"/>
    <m/>
    <m/>
    <n v="1196"/>
  </r>
  <r>
    <s v="OL000026"/>
    <n v="131"/>
    <m/>
    <m/>
    <m/>
    <s v="FAMILIAR"/>
    <s v="CRISTIANO KINGESKI PEREIRA"/>
    <x v="0"/>
    <s v="28/11/2025"/>
    <n v="4611.96"/>
    <n v="1196"/>
    <m/>
    <m/>
    <n v="1196"/>
  </r>
  <r>
    <s v="OL000029"/>
    <n v="128"/>
    <m/>
    <m/>
    <m/>
    <s v="FAMILIAR"/>
    <s v="JOSILENE DE MOURA CABRERA"/>
    <x v="0"/>
    <s v="01/12/2025"/>
    <n v="6681.96"/>
    <n v="1196"/>
    <m/>
    <m/>
    <n v="1196"/>
  </r>
  <r>
    <s v="OL000030"/>
    <n v="125"/>
    <n v="4.166666666666667"/>
    <n v="99.9"/>
    <n v="416.25000000000006"/>
    <s v="FAMILIAR"/>
    <s v="SILVIO ALVES RAMOS"/>
    <x v="1"/>
    <s v="04/12/2025"/>
    <n v="6681.96"/>
    <n v="1196"/>
    <n v="416.25000000000006"/>
    <n v="779.75"/>
    <m/>
  </r>
  <r>
    <s v="OL000032"/>
    <n v="124"/>
    <n v="4.1333333333333337"/>
    <n v="99.9"/>
    <n v="412.92000000000007"/>
    <s v="FAMILIAR"/>
    <s v="GABRIEL HESS DE OLIVEIRA"/>
    <x v="1"/>
    <s v="05/12/2025"/>
    <n v="6681.96"/>
    <n v="1196"/>
    <n v="412.92000000000007"/>
    <n v="783.07999999999993"/>
    <m/>
  </r>
  <r>
    <s v="OL000034"/>
    <n v="124"/>
    <m/>
    <m/>
    <m/>
    <s v="FAMILIAR"/>
    <s v="BRUNO UMBELINO DE OLIVEIRA"/>
    <x v="0"/>
    <s v="05/12/2025"/>
    <n v="4611.96"/>
    <n v="1196"/>
    <m/>
    <m/>
    <n v="1196"/>
  </r>
  <r>
    <s v="OL000037"/>
    <n v="117"/>
    <m/>
    <m/>
    <m/>
    <s v="FAMILIAR"/>
    <s v="LUAN APOEMA BRILHANTE ROBERT"/>
    <x v="0"/>
    <s v="12/12/2025"/>
    <n v="6681.96"/>
    <n v="1196"/>
    <m/>
    <m/>
    <n v="1196"/>
  </r>
  <r>
    <s v="OL000039"/>
    <n v="113"/>
    <m/>
    <m/>
    <m/>
    <s v="FAMILIAR"/>
    <s v="ANDERSON MARTINS OLIVEIRA"/>
    <x v="0"/>
    <s v="16/12/2025"/>
    <n v="4611.96"/>
    <n v="1196"/>
    <m/>
    <m/>
    <n v="1196"/>
  </r>
  <r>
    <s v="OL000040"/>
    <n v="112"/>
    <n v="3.7333333333333334"/>
    <n v="99.9"/>
    <n v="372.96000000000004"/>
    <s v="FAMILIAR"/>
    <s v="JEAN CLÉBER VELLOSO DW SO"/>
    <x v="1"/>
    <s v="17/12/2025"/>
    <n v="6681.96"/>
    <n v="1196"/>
    <n v="372.96000000000004"/>
    <n v="823.04"/>
    <m/>
  </r>
  <r>
    <s v="OL000042"/>
    <n v="111"/>
    <m/>
    <m/>
    <m/>
    <s v="FAMILIAR"/>
    <s v="EDUARDO CESAR CARNEIRO"/>
    <x v="0"/>
    <s v="18/12/2025"/>
    <n v="4611.96"/>
    <n v="1196"/>
    <m/>
    <m/>
    <n v="1196"/>
  </r>
  <r>
    <s v="OL000043"/>
    <n v="107"/>
    <m/>
    <m/>
    <m/>
    <s v="FAMILIAR"/>
    <s v="LILIAN PEREIRA DE MELLO"/>
    <x v="0"/>
    <s v="22/12/2025"/>
    <n v="4611.96"/>
    <n v="1196"/>
    <m/>
    <m/>
    <n v="1196"/>
  </r>
  <r>
    <s v="OL000046"/>
    <n v="106"/>
    <n v="3.5333333333333332"/>
    <n v="99.9"/>
    <n v="352.98"/>
    <s v="FAMILIAR"/>
    <s v="TATIANA ILHETE P TROMPEZYN"/>
    <x v="1"/>
    <s v="23/12/2025"/>
    <n v="6681.96"/>
    <n v="1196"/>
    <n v="352.98"/>
    <n v="843.02"/>
    <m/>
  </r>
  <r>
    <s v="OL000047"/>
    <n v="106"/>
    <m/>
    <m/>
    <m/>
    <s v="FAMILIAR"/>
    <s v="LUIZ CESAR A. DE LIMA"/>
    <x v="0"/>
    <s v="23/12/2025"/>
    <n v="4611.96"/>
    <n v="1196"/>
    <m/>
    <m/>
    <n v="1196"/>
  </r>
  <r>
    <s v="OL000048"/>
    <n v="105"/>
    <m/>
    <m/>
    <m/>
    <s v="FAMILIAR"/>
    <s v="ANDREI BULKA MACHULA"/>
    <x v="0"/>
    <s v="24/12/2025"/>
    <n v="4611.96"/>
    <n v="1196"/>
    <m/>
    <m/>
    <n v="1196"/>
  </r>
  <r>
    <s v="OL000050"/>
    <n v="105"/>
    <m/>
    <m/>
    <m/>
    <s v="FAMILIAR"/>
    <s v="JOELCIO ALCIDES PEREIRA"/>
    <x v="0"/>
    <s v="24/12/2025"/>
    <n v="4611.96"/>
    <n v="1196"/>
    <m/>
    <m/>
    <n v="1196"/>
  </r>
  <r>
    <s v="OL000052"/>
    <n v="103"/>
    <n v="3.4333333333333331"/>
    <n v="99.9"/>
    <n v="342.99"/>
    <s v="FAMILIAR"/>
    <s v="KETTLYN PEREIRA ALVES DE MOURA"/>
    <x v="1"/>
    <s v="26/12/2025"/>
    <n v="6681.96"/>
    <n v="1196"/>
    <n v="342.99"/>
    <n v="853.01"/>
    <m/>
  </r>
  <r>
    <s v="OL000053"/>
    <n v="103"/>
    <n v="3.4333333333333331"/>
    <n v="99.9"/>
    <n v="342.99"/>
    <s v="FAMILIAR"/>
    <s v="LUANA FLAVIA DA SILVA"/>
    <x v="1"/>
    <s v="26/12/2025"/>
    <n v="6681.96"/>
    <n v="1196"/>
    <n v="342.99"/>
    <n v="853.01"/>
    <m/>
  </r>
  <r>
    <s v="OL000055"/>
    <n v="96"/>
    <m/>
    <m/>
    <m/>
    <s v="FAMILIAR"/>
    <s v="SAMARONE BUENO"/>
    <x v="0"/>
    <s v="02/01/2026"/>
    <n v="4611.96"/>
    <n v="1196"/>
    <m/>
    <m/>
    <n v="1196"/>
  </r>
  <r>
    <s v="OL000056"/>
    <n v="96"/>
    <m/>
    <m/>
    <m/>
    <s v="FAMILIAR"/>
    <s v="ANGELA HELENA LIMA BALCHAK"/>
    <x v="0"/>
    <s v="02/01/2026"/>
    <n v="4188"/>
    <n v="1196"/>
    <m/>
    <m/>
    <n v="1196"/>
  </r>
  <r>
    <s v="OL000061"/>
    <n v="96"/>
    <n v="3.2"/>
    <n v="99.9"/>
    <n v="319.68000000000006"/>
    <s v="FAMILIAR"/>
    <s v="MARIA LAURA COSTA"/>
    <x v="1"/>
    <s v="02/01/2026"/>
    <n v="9082.02"/>
    <n v="1196"/>
    <n v="319.68000000000006"/>
    <n v="876.31999999999994"/>
    <m/>
  </r>
  <r>
    <s v="OL000062"/>
    <n v="96"/>
    <m/>
    <m/>
    <m/>
    <s v="FAMILIAR"/>
    <s v="JULIANA LIMA MARTINS "/>
    <x v="0"/>
    <s v="02/01/2026"/>
    <n v="7011.96"/>
    <n v="1196"/>
    <m/>
    <m/>
    <n v="1196"/>
  </r>
  <r>
    <s v="OL000064"/>
    <n v="96"/>
    <n v="3.2"/>
    <n v="99.9"/>
    <n v="319.68000000000006"/>
    <s v="FAMILIAR"/>
    <s v="ADRIELY DE OLIVEIRA"/>
    <x v="1"/>
    <s v="02/01/2026"/>
    <n v="9082.02"/>
    <n v="1196"/>
    <n v="319.68000000000006"/>
    <n v="876.31999999999994"/>
    <m/>
  </r>
  <r>
    <s v="OL000065"/>
    <n v="96"/>
    <m/>
    <m/>
    <m/>
    <s v="FAMILIAR"/>
    <s v="CAROLINE FERNANDA DE ALBU"/>
    <x v="0"/>
    <s v="02/01/2026"/>
    <n v="4611.96"/>
    <n v="1196"/>
    <m/>
    <m/>
    <n v="1196"/>
  </r>
  <r>
    <s v="OL000066"/>
    <n v="92"/>
    <m/>
    <m/>
    <m/>
    <s v="FAMILIAR"/>
    <s v="ARI ALVES DE MORAES JUNIOR"/>
    <x v="0"/>
    <s v="06/01/2026"/>
    <n v="4611.96"/>
    <n v="1196"/>
    <m/>
    <m/>
    <n v="1196"/>
  </r>
  <r>
    <s v="OL000068"/>
    <n v="91"/>
    <n v="3.0333333333333332"/>
    <n v="99.9"/>
    <n v="303.03000000000003"/>
    <s v="FAMILIAR"/>
    <s v="ARIANE GISELYS"/>
    <x v="1"/>
    <s v="07/01/2026"/>
    <n v="6681.96"/>
    <n v="1196"/>
    <n v="303.03000000000003"/>
    <n v="892.97"/>
    <m/>
  </r>
  <r>
    <s v="OL000069"/>
    <n v="91"/>
    <m/>
    <m/>
    <m/>
    <s v="FAMILIAR"/>
    <s v="VANESSA OLIVEIRA PERRI RAMOS"/>
    <x v="0"/>
    <s v="07/01/2026"/>
    <n v="7011.96"/>
    <n v="1196"/>
    <m/>
    <m/>
    <n v="1196"/>
  </r>
  <r>
    <s v="OL000073"/>
    <n v="83"/>
    <m/>
    <m/>
    <m/>
    <s v="FAMILIAR"/>
    <s v="JULIANO ANTONIO PILATTI"/>
    <x v="0"/>
    <s v="15/01/2026"/>
    <n v="4611.96"/>
    <n v="1196"/>
    <m/>
    <m/>
    <n v="1196"/>
  </r>
  <r>
    <s v="OL000076"/>
    <n v="78"/>
    <n v="2.6"/>
    <n v="99.9"/>
    <n v="259.74"/>
    <s v="FAMILIAR"/>
    <s v="GUILHERME ARRUDA SILVA"/>
    <x v="1"/>
    <s v="20/01/2026"/>
    <n v="6681.96"/>
    <n v="1196"/>
    <n v="259.74"/>
    <n v="936.26"/>
    <m/>
  </r>
  <r>
    <s v="OL000077"/>
    <n v="78"/>
    <m/>
    <m/>
    <m/>
    <s v="FAMILIAR"/>
    <s v="ROMULO   P   SIMIONE"/>
    <x v="0"/>
    <s v="20/01/2026"/>
    <n v="4611.96"/>
    <n v="1196"/>
    <m/>
    <m/>
    <n v="1196"/>
  </r>
  <r>
    <s v="OL000078"/>
    <n v="78"/>
    <m/>
    <m/>
    <m/>
    <s v="FAMILIAR"/>
    <s v="SANDRO CEZAR DE ARAUJO"/>
    <x v="0"/>
    <s v="20/01/2026"/>
    <n v="7242.42"/>
    <n v="1196"/>
    <m/>
    <m/>
    <n v="1196"/>
  </r>
  <r>
    <s v="SD000002"/>
    <n v="137"/>
    <m/>
    <m/>
    <m/>
    <s v="DUO"/>
    <s v="ALEXANDRE MEYER"/>
    <x v="0"/>
    <s v="22/11/2025"/>
    <n v="2244"/>
    <n v="598"/>
    <m/>
    <m/>
    <n v="598"/>
  </r>
  <r>
    <s v="SD000004"/>
    <n v="165"/>
    <m/>
    <m/>
    <m/>
    <s v="DUO"/>
    <s v="LUCINEIA FILIPPI"/>
    <x v="0"/>
    <s v="25/10/2025"/>
    <n v="2244"/>
    <n v="598"/>
    <m/>
    <m/>
    <n v="598"/>
  </r>
  <r>
    <s v="SD000005"/>
    <n v="169"/>
    <n v="5.6333333333333337"/>
    <n v="49.9"/>
    <n v="281.10333333333335"/>
    <s v="DUO"/>
    <s v="HENRIQUE WOITECHEN"/>
    <x v="1"/>
    <s v="21/10/2025"/>
    <n v="2840"/>
    <n v="598"/>
    <n v="281.10333333333335"/>
    <n v="316.89666666666665"/>
    <m/>
  </r>
  <r>
    <s v="SD000007"/>
    <n v="152"/>
    <n v="5.0666666666666664"/>
    <n v="49.9"/>
    <n v="252.82666666666665"/>
    <s v="DUO"/>
    <s v="MARIA JULIA RICARDO DIGAM"/>
    <x v="1"/>
    <s v="07/11/2025"/>
    <n v="2640"/>
    <n v="598"/>
    <n v="252.82666666666665"/>
    <n v="345.17333333333335"/>
    <m/>
  </r>
  <r>
    <s v="SD000008"/>
    <n v="139"/>
    <n v="4.6333333333333337"/>
    <n v="49.9"/>
    <n v="231.20333333333335"/>
    <s v="DUO"/>
    <s v="MARIANA VALENTIM FIGUEREDO"/>
    <x v="1"/>
    <s v="20/11/2025"/>
    <n v="2840"/>
    <n v="598"/>
    <n v="231.20333333333335"/>
    <n v="366.79666666666662"/>
    <m/>
  </r>
  <r>
    <s v="SD000009"/>
    <n v="170"/>
    <m/>
    <m/>
    <m/>
    <s v="DUO"/>
    <s v="SAMANTHA GLADYS CORDEIRO "/>
    <x v="0"/>
    <s v="20/10/2025"/>
    <n v="2040"/>
    <n v="598"/>
    <m/>
    <m/>
    <n v="598"/>
  </r>
  <r>
    <s v="SD000012"/>
    <n v="178"/>
    <n v="5.9333333333333336"/>
    <n v="49.9"/>
    <n v="296.07333333333332"/>
    <s v="DUO"/>
    <s v="GABRIELLY VITORIA AB DE MATOS"/>
    <x v="1"/>
    <s v="12/10/2025"/>
    <n v="2640"/>
    <n v="598"/>
    <n v="296.07333333333332"/>
    <n v="301.92666666666668"/>
    <m/>
  </r>
  <r>
    <s v="SD000013"/>
    <m/>
    <m/>
    <m/>
    <m/>
    <s v="DUO"/>
    <s v="LARISSA CRISTINA C. DE MELO"/>
    <x v="0"/>
    <s v="20/10/2025"/>
    <n v="2244"/>
    <n v="598"/>
    <m/>
    <m/>
    <n v="598"/>
  </r>
  <r>
    <s v="SD000014"/>
    <n v="178"/>
    <n v="5.9333333333333336"/>
    <n v="49.9"/>
    <n v="296.07333333333332"/>
    <s v="DUO"/>
    <s v="GILVANA DE LURDES P/ DA SILVA"/>
    <x v="1"/>
    <s v="12/10/2025"/>
    <n v="2640"/>
    <n v="598"/>
    <n v="296.07333333333332"/>
    <n v="301.92666666666668"/>
    <m/>
  </r>
  <r>
    <s v="SD000016"/>
    <n v="178"/>
    <m/>
    <m/>
    <m/>
    <s v="DUO"/>
    <s v="GABRIEL MORO CONRE"/>
    <x v="0"/>
    <s v="12/10/2025"/>
    <n v="2244"/>
    <n v="598"/>
    <m/>
    <m/>
    <n v="598"/>
  </r>
  <r>
    <s v="SD000017"/>
    <n v="173"/>
    <m/>
    <m/>
    <m/>
    <s v="DUO"/>
    <s v="DEBORA BRUM"/>
    <x v="0"/>
    <s v="17/10/2025"/>
    <n v="2244"/>
    <n v="598"/>
    <m/>
    <m/>
    <n v="598"/>
  </r>
  <r>
    <s v="SD000022"/>
    <n v="141"/>
    <n v="4.7"/>
    <n v="49.9"/>
    <n v="234.53"/>
    <s v="DUO"/>
    <s v="ANDRÉ LAUREANO SILVA"/>
    <x v="1"/>
    <s v="18/11/2025"/>
    <n v="2840"/>
    <n v="598"/>
    <n v="234.53"/>
    <n v="363.47"/>
    <m/>
  </r>
  <r>
    <s v="SD000023"/>
    <n v="137"/>
    <n v="4.5666666666666664"/>
    <n v="49.9"/>
    <n v="227.87666666666664"/>
    <s v="DUO"/>
    <s v="DIONE SOUZA"/>
    <x v="1"/>
    <s v="22/11/2025"/>
    <n v="2840"/>
    <n v="598"/>
    <n v="227.87666666666664"/>
    <n v="370.12333333333333"/>
    <m/>
  </r>
  <r>
    <s v="SD000024"/>
    <n v="150"/>
    <n v="5"/>
    <n v="49.9"/>
    <n v="249.5"/>
    <s v="DUO"/>
    <s v="RAVI DOS SANTOS"/>
    <x v="1"/>
    <s v="09/11/2025"/>
    <n v="2640"/>
    <n v="598"/>
    <n v="249.5"/>
    <n v="348.5"/>
    <m/>
  </r>
  <r>
    <s v="SD000028"/>
    <n v="87"/>
    <n v="2.9"/>
    <n v="49.9"/>
    <n v="144.70999999999998"/>
    <s v="DUO"/>
    <s v="DYHEGO  NELSON MOURA"/>
    <x v="1"/>
    <s v="11/01/2026"/>
    <n v="2640"/>
    <n v="598"/>
    <n v="144.70999999999998"/>
    <n v="453.29"/>
    <m/>
  </r>
  <r>
    <s v="SD000036"/>
    <n v="102"/>
    <n v="3.4"/>
    <n v="49.9"/>
    <n v="169.66"/>
    <s v="DUO"/>
    <s v="REBECA MENDES"/>
    <x v="1"/>
    <s v="27/12/2025"/>
    <n v="2640"/>
    <n v="598"/>
    <n v="169.66"/>
    <n v="428.34000000000003"/>
    <m/>
  </r>
  <r>
    <s v="SD000037"/>
    <n v="162"/>
    <n v="5.4"/>
    <n v="49.9"/>
    <n v="269.46000000000004"/>
    <s v="DUO"/>
    <s v="ISRAEL ALEXANDRE S/DA SILVA"/>
    <x v="1"/>
    <s v="28/10/2025"/>
    <n v="2640"/>
    <n v="598"/>
    <n v="269.46000000000004"/>
    <n v="328.53999999999996"/>
    <m/>
  </r>
  <r>
    <s v="SD000038"/>
    <n v="151"/>
    <n v="5.0333333333333332"/>
    <n v="49.9"/>
    <n v="251.16333333333333"/>
    <s v="DUO"/>
    <s v="WILLIAN HERMEGILDO"/>
    <x v="1"/>
    <s v="08/11/2025"/>
    <n v="2840"/>
    <n v="598"/>
    <n v="251.16333333333333"/>
    <n v="346.8366666666667"/>
    <m/>
  </r>
  <r>
    <s v="SD000039"/>
    <n v="173"/>
    <n v="5.7666666666666666"/>
    <n v="49.9"/>
    <n v="287.75666666666666"/>
    <s v="DUO"/>
    <s v="BERNARDO SALGADO LA/ FISCHER"/>
    <x v="1"/>
    <s v="17/10/2025"/>
    <n v="2640"/>
    <n v="598"/>
    <n v="287.75666666666666"/>
    <n v="310.24333333333334"/>
    <m/>
  </r>
  <r>
    <s v="SD000044"/>
    <n v="142"/>
    <m/>
    <m/>
    <m/>
    <s v="DUO"/>
    <s v="THAYLAN WILLIAN SANTOS DA SILV"/>
    <x v="0"/>
    <s v="17/11/2025"/>
    <n v="2040"/>
    <n v="598"/>
    <m/>
    <m/>
    <n v="598"/>
  </r>
  <r>
    <s v="SD000045"/>
    <n v="173"/>
    <n v="5.7666666666666666"/>
    <n v="49.9"/>
    <n v="287.75666666666666"/>
    <s v="DUO"/>
    <s v="JULIENE APARECIDA WOLSKI"/>
    <x v="1"/>
    <s v="17/10/2025"/>
    <n v="2640"/>
    <n v="598"/>
    <n v="287.75666666666666"/>
    <n v="310.24333333333334"/>
    <m/>
  </r>
  <r>
    <s v="SD000048"/>
    <n v="143"/>
    <n v="4.7666666666666666"/>
    <n v="49.9"/>
    <n v="237.85666666666665"/>
    <s v="DUO"/>
    <s v="CESARIO DOS SANTOS FERREIRA N."/>
    <x v="1"/>
    <s v="16/11/2025"/>
    <n v="2840"/>
    <n v="598"/>
    <n v="237.85666666666665"/>
    <n v="360.14333333333332"/>
    <m/>
  </r>
  <r>
    <s v="SD000049"/>
    <n v="138"/>
    <m/>
    <m/>
    <m/>
    <s v="DUO"/>
    <s v="EMERSON ADRIANO GOMES"/>
    <x v="0"/>
    <s v="21/11/2025"/>
    <n v="2244"/>
    <n v="598"/>
    <m/>
    <m/>
    <n v="598"/>
  </r>
  <r>
    <s v="SD000050"/>
    <n v="165"/>
    <m/>
    <m/>
    <m/>
    <s v="DUO"/>
    <s v="OSMAR APARECIDO DE LIMA"/>
    <x v="0"/>
    <s v="25/10/2025"/>
    <n v="2040"/>
    <n v="598"/>
    <m/>
    <m/>
    <n v="598"/>
  </r>
  <r>
    <s v="SD000052"/>
    <n v="166"/>
    <m/>
    <m/>
    <m/>
    <s v="DUO"/>
    <s v="RODRIGO BALHUK"/>
    <x v="0"/>
    <s v="24/10/2025"/>
    <n v="2040"/>
    <n v="598"/>
    <m/>
    <m/>
    <n v="598"/>
  </r>
  <r>
    <s v="SD000059"/>
    <n v="132"/>
    <n v="4.4000000000000004"/>
    <n v="49.9"/>
    <n v="219.56"/>
    <s v="DUO"/>
    <s v="MELINA ALVES O. DIAS"/>
    <x v="1"/>
    <s v="27/11/2025"/>
    <n v="2640"/>
    <n v="598"/>
    <n v="219.56"/>
    <n v="378.44"/>
    <m/>
  </r>
  <r>
    <s v="SD000062"/>
    <n v="151"/>
    <n v="5.0333333333333332"/>
    <n v="49.9"/>
    <n v="251.16333333333333"/>
    <s v="DUO"/>
    <s v="LEANDRO XAVIER MARTINS"/>
    <x v="1"/>
    <s v="08/11/2025"/>
    <n v="2640"/>
    <n v="598"/>
    <n v="251.16333333333333"/>
    <n v="346.8366666666667"/>
    <m/>
  </r>
  <r>
    <s v="SD000067"/>
    <n v="132"/>
    <n v="4.4000000000000004"/>
    <n v="49.9"/>
    <n v="219.56"/>
    <s v="DUO"/>
    <s v="DOUGLAS RODRIGUES DE LIMA"/>
    <x v="1"/>
    <s v="27/11/2025"/>
    <n v="2840"/>
    <n v="598"/>
    <n v="219.56"/>
    <n v="378.44"/>
    <m/>
  </r>
  <r>
    <s v="SD000068"/>
    <n v="116"/>
    <m/>
    <m/>
    <m/>
    <s v="DUO"/>
    <s v="RAQUEL DA SILVA BENIGNO"/>
    <x v="0"/>
    <s v="13/12/2025"/>
    <n v="2040"/>
    <n v="598"/>
    <m/>
    <m/>
    <n v="598"/>
  </r>
  <r>
    <s v="SD000069"/>
    <n v="164"/>
    <n v="5.4666666666666668"/>
    <n v="49.9"/>
    <n v="272.78666666666669"/>
    <s v="DUO"/>
    <s v="DENISE FREITAS DE OLIVEIRA"/>
    <x v="1"/>
    <s v="26/10/2025"/>
    <n v="2640"/>
    <n v="598"/>
    <n v="272.78666666666669"/>
    <n v="325.21333333333331"/>
    <m/>
  </r>
  <r>
    <s v="SD000070"/>
    <n v="158"/>
    <m/>
    <m/>
    <m/>
    <s v="DUO"/>
    <s v="BRUNO RAFHAEL DUTRA"/>
    <x v="0"/>
    <s v="01/11/2025"/>
    <n v="2244"/>
    <n v="598"/>
    <m/>
    <m/>
    <n v="598"/>
  </r>
  <r>
    <s v="SD000071"/>
    <n v="107"/>
    <n v="3.5666666666666669"/>
    <n v="49.9"/>
    <n v="177.97666666666666"/>
    <s v="DUO"/>
    <s v="VICTORIO CASS CACCIA"/>
    <x v="1"/>
    <s v="22/12/2025"/>
    <n v="2840"/>
    <n v="598"/>
    <n v="177.97666666666666"/>
    <n v="420.02333333333331"/>
    <m/>
  </r>
  <r>
    <s v="SD000074"/>
    <n v="152"/>
    <n v="5.0666666666666664"/>
    <n v="49.9"/>
    <n v="252.82666666666665"/>
    <s v="DUO"/>
    <s v="ANDERSON FRANCA LOPES"/>
    <x v="1"/>
    <s v="07/11/2025"/>
    <n v="5244"/>
    <n v="598"/>
    <n v="252.82666666666665"/>
    <n v="345.17333333333335"/>
    <m/>
  </r>
  <r>
    <s v="SD000090"/>
    <n v="139"/>
    <n v="4.6333333333333337"/>
    <n v="49.9"/>
    <n v="231.20333333333335"/>
    <s v="DUO"/>
    <s v="ROBSON DOS SANTOS ALVES J."/>
    <x v="1"/>
    <s v="20/11/2025"/>
    <n v="2640"/>
    <n v="598"/>
    <n v="231.20333333333335"/>
    <n v="366.79666666666662"/>
    <m/>
  </r>
  <r>
    <s v="SD000093"/>
    <n v="111"/>
    <n v="3.7"/>
    <n v="49.9"/>
    <n v="184.63"/>
    <s v="DUO"/>
    <s v="VINICIOS GABRIEL ROSA"/>
    <x v="1"/>
    <s v="18/12/2025"/>
    <n v="2840"/>
    <n v="598"/>
    <n v="184.63"/>
    <n v="413.37"/>
    <m/>
  </r>
  <r>
    <s v="SD000094"/>
    <n v="89"/>
    <m/>
    <m/>
    <m/>
    <s v="DUO"/>
    <s v="JEAN ALECHANDRE RIBEIRO FRANCO"/>
    <x v="0"/>
    <s v="09/01/2026"/>
    <n v="2244"/>
    <n v="598"/>
    <m/>
    <m/>
    <n v="598"/>
  </r>
  <r>
    <s v="SD000098"/>
    <n v="154"/>
    <n v="5.1333333333333337"/>
    <n v="49.9"/>
    <n v="256.15333333333336"/>
    <s v="DUO"/>
    <s v="ANA JULIA MARTINS MACHADO"/>
    <x v="1"/>
    <s v="05/11/2025"/>
    <n v="2840"/>
    <n v="598"/>
    <n v="256.15333333333336"/>
    <n v="341.84666666666664"/>
    <m/>
  </r>
  <r>
    <s v="SD000102"/>
    <n v="133"/>
    <n v="4.4333333333333336"/>
    <n v="49.9"/>
    <n v="221.22333333333333"/>
    <s v="DUO"/>
    <s v="DIEGO NASCIMENTO FERREIRA"/>
    <x v="1"/>
    <s v="26/11/2025"/>
    <n v="2640"/>
    <n v="598"/>
    <n v="221.22333333333333"/>
    <n v="376.77666666666664"/>
    <m/>
  </r>
  <r>
    <s v="SD000106"/>
    <n v="142"/>
    <n v="4.7333333333333334"/>
    <n v="49.9"/>
    <n v="236.19333333333333"/>
    <s v="DUO"/>
    <s v="ADRIANO DIEGO BENTES MARCÊDO"/>
    <x v="1"/>
    <s v="17/11/2025"/>
    <n v="2640"/>
    <n v="598"/>
    <n v="236.19333333333333"/>
    <n v="361.80666666666667"/>
    <m/>
  </r>
  <r>
    <s v="SD000107"/>
    <n v="143"/>
    <n v="4.7666666666666666"/>
    <n v="49.9"/>
    <n v="237.85666666666665"/>
    <s v="DUO"/>
    <s v="LUVERCI CANDIDO DE CAMARGO"/>
    <x v="1"/>
    <s v="16/11/2025"/>
    <n v="2840"/>
    <n v="598"/>
    <n v="237.85666666666665"/>
    <n v="360.14333333333332"/>
    <m/>
  </r>
  <r>
    <s v="SD000109"/>
    <n v="122"/>
    <n v="4.0666666666666664"/>
    <n v="49.9"/>
    <n v="202.92666666666665"/>
    <s v="DUO"/>
    <s v="EDUARDO DE OLIVEIRA CAMPOS"/>
    <x v="1"/>
    <s v="07/12/2025"/>
    <n v="2840"/>
    <n v="598"/>
    <n v="202.92666666666665"/>
    <n v="395.07333333333338"/>
    <m/>
  </r>
  <r>
    <s v="SD000110"/>
    <n v="137"/>
    <n v="4.5666666666666664"/>
    <n v="49.9"/>
    <n v="227.87666666666664"/>
    <s v="DUO"/>
    <s v="MELISSA G. MIRANDA"/>
    <x v="1"/>
    <s v="22/11/2025"/>
    <n v="2640"/>
    <n v="598"/>
    <n v="227.87666666666664"/>
    <n v="370.12333333333333"/>
    <m/>
  </r>
  <r>
    <s v="SD000111"/>
    <n v="139"/>
    <n v="4.6333333333333337"/>
    <n v="49.9"/>
    <n v="231.20333333333335"/>
    <s v="DUO"/>
    <s v="SULLIVAR  J. BARROSO"/>
    <x v="1"/>
    <s v="20/11/2025"/>
    <n v="2640"/>
    <n v="598"/>
    <n v="231.20333333333335"/>
    <n v="366.79666666666662"/>
    <m/>
  </r>
  <r>
    <s v="SD000112"/>
    <n v="85"/>
    <m/>
    <m/>
    <m/>
    <s v="DUO"/>
    <s v="JORGE SUGAMOSTO"/>
    <x v="0"/>
    <s v="13/01/2026"/>
    <n v="2244"/>
    <n v="598"/>
    <m/>
    <m/>
    <n v="598"/>
  </r>
  <r>
    <s v="SD000113"/>
    <n v="107"/>
    <n v="3.5666666666666669"/>
    <n v="49.9"/>
    <n v="177.97666666666666"/>
    <s v="DUO"/>
    <s v="LAURIANE SOUZA DE JESUS"/>
    <x v="1"/>
    <s v="22/12/2025"/>
    <n v="2640"/>
    <n v="598"/>
    <n v="177.97666666666666"/>
    <n v="420.02333333333331"/>
    <m/>
  </r>
  <r>
    <s v="SD000114"/>
    <n v="114"/>
    <m/>
    <m/>
    <m/>
    <s v="DUO"/>
    <s v="RYAN WILLIAN PACHECO"/>
    <x v="0"/>
    <s v="15/12/2025"/>
    <n v="2244"/>
    <n v="598"/>
    <m/>
    <m/>
    <n v="598"/>
  </r>
  <r>
    <s v="SD000117"/>
    <n v="115"/>
    <m/>
    <m/>
    <m/>
    <s v="DUO"/>
    <s v="ALEX RODRIGUES DOS SANTOS"/>
    <x v="0"/>
    <s v="14/12/2025"/>
    <n v="2331.2399999999998"/>
    <n v="598"/>
    <m/>
    <m/>
    <n v="598"/>
  </r>
  <r>
    <s v="SD000118"/>
    <n v="103"/>
    <m/>
    <m/>
    <m/>
    <s v="DUO"/>
    <s v="FILIPE S. DE OLIVEIRA"/>
    <x v="0"/>
    <s v="26/12/2025"/>
    <n v="2244"/>
    <n v="598"/>
    <m/>
    <m/>
    <n v="598"/>
  </r>
  <r>
    <s v="SD000119"/>
    <m/>
    <m/>
    <m/>
    <m/>
    <s v="DUO"/>
    <s v="GEAN CARLOS VIDAL DOS SANTOS"/>
    <x v="0"/>
    <s v="16/12/2025"/>
    <n v="2820"/>
    <n v="598"/>
    <m/>
    <m/>
    <n v="598"/>
  </r>
  <r>
    <s v="SD000120"/>
    <n v="95"/>
    <n v="3.1666666666666665"/>
    <n v="49.9"/>
    <n v="158.01666666666665"/>
    <s v="DUO"/>
    <s v="ANDREA BARBOSA DE ANDRADE"/>
    <x v="1"/>
    <s v="03/01/2026"/>
    <n v="2840"/>
    <n v="598"/>
    <n v="158.01666666666665"/>
    <n v="439.98333333333335"/>
    <m/>
  </r>
  <r>
    <s v="SD000121"/>
    <n v="91"/>
    <m/>
    <m/>
    <m/>
    <s v="DUO"/>
    <s v="ALYSON EDER OLIVEIRA"/>
    <x v="0"/>
    <s v="07/01/2026"/>
    <n v="2040"/>
    <n v="598"/>
    <m/>
    <m/>
    <n v="598"/>
  </r>
  <r>
    <s v="SD000124"/>
    <n v="146"/>
    <m/>
    <m/>
    <m/>
    <s v="DUO"/>
    <s v="GABRIELA AZEVEDO M. DA CUNHA "/>
    <x v="0"/>
    <s v="13/11/2025"/>
    <n v="2040"/>
    <n v="598"/>
    <m/>
    <m/>
    <n v="598"/>
  </r>
  <r>
    <s v="SD000126"/>
    <n v="93"/>
    <n v="3.1"/>
    <n v="49.9"/>
    <n v="154.69"/>
    <s v="DUO"/>
    <s v="MARCELO REQUENA"/>
    <x v="1"/>
    <s v="05/01/2026"/>
    <n v="2840"/>
    <n v="598"/>
    <n v="154.69"/>
    <n v="443.31"/>
    <m/>
  </r>
  <r>
    <s v="SD000129"/>
    <n v="129"/>
    <m/>
    <m/>
    <m/>
    <s v="DUO"/>
    <s v="GIOVANA NUNES MOSCARDI ELIAS "/>
    <x v="0"/>
    <s v="30/11/2025"/>
    <n v="2244"/>
    <n v="598"/>
    <m/>
    <m/>
    <n v="598"/>
  </r>
  <r>
    <s v="SD000130"/>
    <n v="115"/>
    <m/>
    <m/>
    <m/>
    <s v="DUO"/>
    <s v="SARAH HAIA GOZALAN "/>
    <x v="0"/>
    <s v="14/12/2025"/>
    <n v="2244"/>
    <n v="598"/>
    <m/>
    <m/>
    <n v="598"/>
  </r>
  <r>
    <s v="SD000132"/>
    <n v="108"/>
    <m/>
    <m/>
    <m/>
    <s v="DUO"/>
    <s v="MAYLEN RAFAELA  FERRER VARGAS"/>
    <x v="0"/>
    <s v="21/12/2025"/>
    <n v="2040"/>
    <n v="598"/>
    <m/>
    <m/>
    <n v="598"/>
  </r>
  <r>
    <s v="SD000133"/>
    <n v="109"/>
    <n v="3.6333333333333333"/>
    <n v="49.9"/>
    <n v="181.30333333333331"/>
    <s v="DUO"/>
    <s v="GUSTAVO M. STONOGA"/>
    <x v="1"/>
    <s v="20/12/2025"/>
    <n v="2840"/>
    <n v="598"/>
    <n v="181.30333333333331"/>
    <n v="416.69666666666672"/>
    <m/>
  </r>
  <r>
    <s v="SD000136"/>
    <n v="96"/>
    <m/>
    <m/>
    <m/>
    <s v="DUO"/>
    <s v="IVAL TEODORO DA SILVA"/>
    <x v="0"/>
    <s v="02/01/2026"/>
    <n v="2040"/>
    <n v="598"/>
    <m/>
    <m/>
    <n v="598"/>
  </r>
  <r>
    <s v="SD000137"/>
    <n v="129"/>
    <m/>
    <m/>
    <m/>
    <s v="DUO"/>
    <s v="RONALD MAURI OBLADEN"/>
    <x v="0"/>
    <s v="30/11/2025"/>
    <n v="2244"/>
    <n v="598"/>
    <m/>
    <m/>
    <n v="598"/>
  </r>
  <r>
    <s v="SD000138"/>
    <n v="129"/>
    <m/>
    <m/>
    <m/>
    <s v="DUO"/>
    <s v="RODRIGO MARCIONILO DOS SANTOS"/>
    <x v="0"/>
    <s v="30/11/2025"/>
    <n v="2244"/>
    <n v="598"/>
    <m/>
    <m/>
    <n v="598"/>
  </r>
  <r>
    <s v="SD000139"/>
    <n v="106"/>
    <m/>
    <m/>
    <m/>
    <s v="DUO"/>
    <s v="CARINA TOSIN"/>
    <x v="0"/>
    <s v="23/12/2025"/>
    <n v="2244"/>
    <n v="598"/>
    <m/>
    <m/>
    <n v="598"/>
  </r>
  <r>
    <s v="SD000148"/>
    <n v="87"/>
    <m/>
    <m/>
    <m/>
    <s v="DUO"/>
    <s v="EMILY SARAH FERREIRA CORREIA"/>
    <x v="0"/>
    <s v="11/01/2026"/>
    <n v="3240"/>
    <n v="598"/>
    <m/>
    <m/>
    <n v="598"/>
  </r>
  <r>
    <s v="SD000149"/>
    <n v="139"/>
    <n v="4.6333333333333337"/>
    <n v="49.9"/>
    <n v="231.20333333333335"/>
    <s v="DUO"/>
    <s v="VALERIA DOS SANTOS"/>
    <x v="1"/>
    <s v="20/11/2025"/>
    <n v="2840"/>
    <n v="598"/>
    <n v="231.20333333333335"/>
    <n v="366.79666666666662"/>
    <m/>
  </r>
  <r>
    <s v="SD000151"/>
    <n v="131"/>
    <m/>
    <m/>
    <m/>
    <s v="DUO"/>
    <s v="MARIA LOISA FRANÇA FRANCO"/>
    <x v="0"/>
    <s v="28/11/2025"/>
    <n v="2244"/>
    <n v="598"/>
    <m/>
    <m/>
    <n v="598"/>
  </r>
  <r>
    <s v="SD000152"/>
    <n v="130"/>
    <n v="4.333333333333333"/>
    <n v="49.9"/>
    <n v="216.23333333333332"/>
    <s v="DUO"/>
    <s v="MAURO CESAR DE FREITAS"/>
    <x v="1"/>
    <s v="29/11/2025"/>
    <n v="2840"/>
    <n v="598"/>
    <n v="216.23333333333332"/>
    <n v="381.76666666666665"/>
    <m/>
  </r>
  <r>
    <s v="SD000153"/>
    <n v="137"/>
    <n v="4.5666666666666664"/>
    <n v="49.9"/>
    <n v="227.87666666666664"/>
    <s v="DUO"/>
    <s v="MICHAEL JESUS BORGES GUTIERREZ"/>
    <x v="1"/>
    <s v="22/11/2025"/>
    <n v="2840"/>
    <n v="598"/>
    <n v="227.87666666666664"/>
    <n v="370.12333333333333"/>
    <m/>
  </r>
  <r>
    <s v="SD000157"/>
    <n v="73"/>
    <n v="2.4333333333333331"/>
    <n v="49.9"/>
    <n v="121.42333333333332"/>
    <s v="DUO"/>
    <s v="DIRCEU BAGATELLI"/>
    <x v="1"/>
    <s v="25/01/2026"/>
    <n v="2840"/>
    <n v="598"/>
    <n v="121.42333333333332"/>
    <n v="476.57666666666671"/>
    <m/>
  </r>
  <r>
    <s v="SD000158"/>
    <n v="100"/>
    <m/>
    <m/>
    <m/>
    <s v="DUO"/>
    <s v="LUCIANA ARAUJO DOS SANTOS"/>
    <x v="0"/>
    <s v="29/12/2025"/>
    <n v="2040"/>
    <n v="598"/>
    <m/>
    <m/>
    <n v="598"/>
  </r>
  <r>
    <s v="SD000159"/>
    <n v="115"/>
    <m/>
    <m/>
    <m/>
    <s v="DUO"/>
    <s v="ANTONIO RUBENS FARIA"/>
    <x v="0"/>
    <s v="14/12/2025"/>
    <n v="2040"/>
    <n v="598"/>
    <m/>
    <m/>
    <n v="598"/>
  </r>
  <r>
    <s v="SD000161"/>
    <n v="131"/>
    <n v="4.3666666666666663"/>
    <n v="49.9"/>
    <n v="217.89666666666665"/>
    <s v="DUO"/>
    <s v="IAN MENDES DE MELLO"/>
    <x v="1"/>
    <s v="28/11/2025"/>
    <n v="2840"/>
    <n v="598"/>
    <n v="217.89666666666665"/>
    <n v="380.10333333333335"/>
    <m/>
  </r>
  <r>
    <s v="SD000162"/>
    <n v="127"/>
    <m/>
    <m/>
    <m/>
    <s v="DUO"/>
    <s v="ALINE M.COSTA ALEXANDRE"/>
    <x v="0"/>
    <s v="02/12/2025"/>
    <n v="2244"/>
    <n v="598"/>
    <m/>
    <m/>
    <n v="598"/>
  </r>
  <r>
    <s v="SD000163"/>
    <n v="131"/>
    <n v="4.3666666666666663"/>
    <n v="49.9"/>
    <n v="217.89666666666665"/>
    <s v="DUO"/>
    <s v="HENRIQUE CAMARGO"/>
    <x v="1"/>
    <s v="28/11/2025"/>
    <n v="2840"/>
    <n v="598"/>
    <n v="217.89666666666665"/>
    <n v="380.10333333333335"/>
    <m/>
  </r>
  <r>
    <s v="SD000165"/>
    <n v="133"/>
    <n v="4.4333333333333336"/>
    <n v="49.9"/>
    <n v="221.22333333333333"/>
    <s v="DUO"/>
    <s v="PRISCILA CAROLINE JUSTINO"/>
    <x v="1"/>
    <s v="26/11/2025"/>
    <n v="2640"/>
    <n v="598"/>
    <n v="221.22333333333333"/>
    <n v="376.77666666666664"/>
    <m/>
  </r>
  <r>
    <s v="SD000166"/>
    <n v="134"/>
    <m/>
    <m/>
    <m/>
    <s v="DUO"/>
    <s v="GILLARD ALFREDO FAGUNDES "/>
    <x v="0"/>
    <s v="25/11/2025"/>
    <n v="2244"/>
    <n v="598"/>
    <m/>
    <m/>
    <n v="598"/>
  </r>
  <r>
    <s v="SD000168"/>
    <n v="136"/>
    <m/>
    <m/>
    <m/>
    <s v="DUO"/>
    <s v="EDWIN BDTTEHER"/>
    <x v="0"/>
    <s v="23/11/2025"/>
    <n v="2244"/>
    <n v="598"/>
    <m/>
    <m/>
    <n v="598"/>
  </r>
  <r>
    <s v="SD000169"/>
    <n v="135"/>
    <n v="4.5"/>
    <n v="49.9"/>
    <n v="224.54999999999998"/>
    <s v="DUO"/>
    <s v="THIAGO SANTANA STIN DE GODOI"/>
    <x v="1"/>
    <s v="24/11/2025"/>
    <n v="2840"/>
    <n v="598"/>
    <n v="224.54999999999998"/>
    <n v="373.45000000000005"/>
    <m/>
  </r>
  <r>
    <s v="SD000178"/>
    <n v="95"/>
    <m/>
    <m/>
    <m/>
    <s v="DUO"/>
    <s v="KEVIN CRISTIAN DA SILVA PATRIC"/>
    <x v="0"/>
    <s v="03/01/2026"/>
    <n v="2040"/>
    <n v="598"/>
    <m/>
    <m/>
    <n v="598"/>
  </r>
  <r>
    <s v="SD000184"/>
    <n v="130"/>
    <n v="4.333333333333333"/>
    <n v="49.9"/>
    <n v="216.23333333333332"/>
    <s v="DUO"/>
    <s v="MURILO LEMES PACHER"/>
    <x v="1"/>
    <s v="29/11/2025"/>
    <n v="2840"/>
    <n v="598"/>
    <n v="216.23333333333332"/>
    <n v="381.76666666666665"/>
    <m/>
  </r>
  <r>
    <s v="SD000185"/>
    <n v="118"/>
    <n v="3.9333333333333331"/>
    <n v="49.9"/>
    <n v="196.27333333333331"/>
    <s v="DUO"/>
    <s v="RAUL VITOR D/SILVA PERAZZETTA"/>
    <x v="1"/>
    <s v="11/12/2025"/>
    <n v="2840"/>
    <n v="598"/>
    <n v="196.27333333333331"/>
    <n v="401.72666666666669"/>
    <m/>
  </r>
  <r>
    <s v="SD000187"/>
    <n v="71"/>
    <m/>
    <m/>
    <m/>
    <s v="DUO"/>
    <s v="JOILSON JOSE DE LARA SEHULUCHA"/>
    <x v="0"/>
    <s v="27/01/2026"/>
    <n v="3440"/>
    <n v="598"/>
    <m/>
    <m/>
    <n v="598"/>
  </r>
  <r>
    <s v="SD000191"/>
    <n v="111"/>
    <m/>
    <m/>
    <m/>
    <s v="DUO"/>
    <s v="DANIEL VINICIUS MARTINS CARDOS"/>
    <x v="0"/>
    <s v="18/12/2025"/>
    <n v="2244"/>
    <n v="598"/>
    <m/>
    <m/>
    <n v="598"/>
  </r>
  <r>
    <s v="SD000192"/>
    <n v="126"/>
    <n v="4.2"/>
    <n v="49.9"/>
    <n v="209.58"/>
    <s v="DUO"/>
    <s v="JULIANA KAILER NUNES COSTA"/>
    <x v="1"/>
    <s v="03/12/2025"/>
    <n v="2640"/>
    <n v="598"/>
    <n v="209.58"/>
    <n v="388.41999999999996"/>
    <m/>
  </r>
  <r>
    <s v="SD000193"/>
    <n v="110"/>
    <m/>
    <m/>
    <m/>
    <s v="DUO"/>
    <s v="FERNANDA A. DOS SANTOS"/>
    <x v="0"/>
    <s v="19/12/2025"/>
    <n v="2244"/>
    <n v="598"/>
    <m/>
    <m/>
    <n v="598"/>
  </r>
  <r>
    <s v="SD000194"/>
    <n v="118"/>
    <n v="3.9333333333333331"/>
    <n v="49.9"/>
    <n v="196.27333333333331"/>
    <s v="DUO"/>
    <s v="SELMA NUNES CORDEIRO"/>
    <x v="1"/>
    <s v="11/12/2025"/>
    <n v="2640"/>
    <n v="598"/>
    <n v="196.27333333333331"/>
    <n v="401.72666666666669"/>
    <m/>
  </r>
  <r>
    <s v="SD000196"/>
    <n v="112"/>
    <n v="3.7333333333333334"/>
    <n v="49.9"/>
    <n v="186.29333333333332"/>
    <s v="DUO"/>
    <s v="MATHEUS BINAFINI DO CARMO"/>
    <x v="1"/>
    <s v="17/12/2025"/>
    <n v="2840"/>
    <n v="598"/>
    <n v="186.29333333333332"/>
    <n v="411.70666666666671"/>
    <m/>
  </r>
  <r>
    <s v="SD000197"/>
    <m/>
    <m/>
    <m/>
    <m/>
    <s v="DUO"/>
    <s v="CARLOS ROBERTO FARIAS"/>
    <x v="0"/>
    <s v="18/12/2025"/>
    <n v="2040"/>
    <n v="598"/>
    <m/>
    <m/>
    <n v="598"/>
  </r>
  <r>
    <s v="SD000201"/>
    <n v="103"/>
    <m/>
    <m/>
    <m/>
    <s v="DUO"/>
    <s v="ANA CAROLINA ALCANTRA Q."/>
    <x v="0"/>
    <s v="26/12/2025"/>
    <n v="2244"/>
    <n v="598"/>
    <m/>
    <m/>
    <n v="598"/>
  </r>
  <r>
    <s v="SD000202"/>
    <n v="108"/>
    <n v="3.6"/>
    <n v="49.9"/>
    <n v="179.64"/>
    <s v="DUO"/>
    <s v="JOÃO DAVI CELIO DE PAULA"/>
    <x v="1"/>
    <s v="21/12/2025"/>
    <n v="2840"/>
    <n v="598"/>
    <n v="179.64"/>
    <n v="418.36"/>
    <m/>
  </r>
  <r>
    <s v="SD000203"/>
    <n v="109"/>
    <m/>
    <m/>
    <m/>
    <s v="DUO"/>
    <s v="MATHEUS MEIRA DE MIRANDA  / A"/>
    <x v="0"/>
    <s v="20/12/2025"/>
    <n v="2244"/>
    <n v="598"/>
    <m/>
    <m/>
    <n v="598"/>
  </r>
  <r>
    <s v="SD000204"/>
    <n v="99"/>
    <n v="3.3"/>
    <n v="49.9"/>
    <n v="164.67"/>
    <s v="DUO"/>
    <s v="GABRIEL FELIPE BEZERRA BARBOSA"/>
    <x v="1"/>
    <s v="30/12/2025"/>
    <n v="2485"/>
    <n v="598"/>
    <n v="164.67"/>
    <n v="433.33000000000004"/>
    <m/>
  </r>
  <r>
    <s v="SD000205"/>
    <n v="108"/>
    <n v="3.6"/>
    <n v="49.9"/>
    <n v="179.64"/>
    <s v="DUO"/>
    <s v="ADRIANO KUCHLA"/>
    <x v="1"/>
    <d v="2025-12-21T00:00:00"/>
    <n v="2840"/>
    <n v="598"/>
    <n v="179.64"/>
    <n v="418.36"/>
    <m/>
  </r>
  <r>
    <s v="SD000208"/>
    <n v="87"/>
    <m/>
    <m/>
    <m/>
    <s v="DUO"/>
    <s v="ANTHONY CORDEIRO RAMOS"/>
    <x v="0"/>
    <s v="11/01/2026"/>
    <n v="3444"/>
    <n v="598"/>
    <m/>
    <m/>
    <n v="598"/>
  </r>
  <r>
    <s v="SD000209"/>
    <n v="123"/>
    <n v="4.0999999999999996"/>
    <n v="49.9"/>
    <n v="204.58999999999997"/>
    <s v="DUO"/>
    <s v="FELIPE ANDZIEWSKI"/>
    <x v="1"/>
    <s v="06/12/2025"/>
    <n v="2310"/>
    <n v="598"/>
    <n v="204.58999999999997"/>
    <n v="393.41"/>
    <m/>
  </r>
  <r>
    <s v="SD000210"/>
    <n v="103"/>
    <n v="3.4333333333333331"/>
    <n v="49.9"/>
    <n v="171.32333333333332"/>
    <s v="DUO"/>
    <s v="FABRICIO SOUZA DA COSTA "/>
    <x v="1"/>
    <s v="26/12/2025"/>
    <n v="2640"/>
    <n v="598"/>
    <n v="171.32333333333332"/>
    <n v="426.67666666666668"/>
    <m/>
  </r>
  <r>
    <s v="SD000211"/>
    <n v="105"/>
    <m/>
    <m/>
    <m/>
    <s v="DUO"/>
    <s v="SARAH DE MORAES DA SILVA"/>
    <x v="0"/>
    <s v="24/12/2025"/>
    <n v="2244"/>
    <n v="598"/>
    <m/>
    <m/>
    <n v="598"/>
  </r>
  <r>
    <s v="SD000212"/>
    <n v="103"/>
    <m/>
    <m/>
    <m/>
    <s v="DUO"/>
    <s v="VALÉRIA BEATRIZ ALVES COLINS"/>
    <x v="0"/>
    <s v="26/12/2025"/>
    <n v="2040"/>
    <n v="598"/>
    <m/>
    <m/>
    <n v="598"/>
  </r>
  <r>
    <s v="SD000214"/>
    <n v="122"/>
    <m/>
    <m/>
    <m/>
    <s v="DUO"/>
    <s v="PEDRO JUNIOR "/>
    <x v="0"/>
    <s v="07/12/2025"/>
    <n v="2040"/>
    <n v="598"/>
    <m/>
    <m/>
    <n v="598"/>
  </r>
  <r>
    <s v="SD000216"/>
    <n v="96"/>
    <n v="3.2"/>
    <n v="49.9"/>
    <n v="159.68"/>
    <s v="DUO"/>
    <s v="ALANA BALI"/>
    <x v="1"/>
    <s v="02/01/2026"/>
    <n v="2363.9699999999998"/>
    <n v="598"/>
    <n v="159.68"/>
    <n v="438.32"/>
    <m/>
  </r>
  <r>
    <s v="SD000217"/>
    <m/>
    <m/>
    <m/>
    <m/>
    <s v="DUO"/>
    <s v="ALEXSANDRO SILVA"/>
    <x v="0"/>
    <s v="01/01/2026"/>
    <n v="2640"/>
    <n v="598"/>
    <m/>
    <m/>
    <n v="598"/>
  </r>
  <r>
    <s v="SD000221"/>
    <n v="102"/>
    <m/>
    <m/>
    <m/>
    <s v="DUO"/>
    <s v="PEDRO IVO GONÇALVES BISCOTTO"/>
    <x v="0"/>
    <s v="27/12/2025"/>
    <n v="2244"/>
    <n v="598"/>
    <m/>
    <m/>
    <n v="598"/>
  </r>
  <r>
    <s v="SD000222"/>
    <n v="80"/>
    <n v="2.6666666666666665"/>
    <n v="49.9"/>
    <n v="133.06666666666666"/>
    <s v="DUO"/>
    <s v="NATHALIA GOMES FERIATO"/>
    <x v="1"/>
    <s v="18/01/2026"/>
    <n v="2640"/>
    <n v="598"/>
    <n v="133.06666666666666"/>
    <n v="464.93333333333334"/>
    <m/>
  </r>
  <r>
    <s v="SD000223"/>
    <n v="100"/>
    <m/>
    <m/>
    <m/>
    <s v="DUO"/>
    <s v="JULIANA DA SILVA MALAQUIAS"/>
    <x v="0"/>
    <s v="29/12/2025"/>
    <n v="2244"/>
    <n v="598"/>
    <m/>
    <m/>
    <n v="598"/>
  </r>
  <r>
    <s v="SD000224"/>
    <m/>
    <m/>
    <m/>
    <m/>
    <s v="DUO"/>
    <s v="KAMILA CRISTINA BUSMAIER"/>
    <x v="0"/>
    <s v="08/01/2026"/>
    <n v="4644"/>
    <n v="598"/>
    <m/>
    <m/>
    <n v="598"/>
  </r>
  <r>
    <s v="SD000225"/>
    <m/>
    <m/>
    <m/>
    <m/>
    <s v="DUO"/>
    <s v="CAROLINA DE MIRANDA EVANGELIST"/>
    <x v="0"/>
    <s v="02/01/2026"/>
    <n v="2640"/>
    <n v="598"/>
    <m/>
    <m/>
    <n v="598"/>
  </r>
  <r>
    <s v="SD000226"/>
    <n v="100"/>
    <n v="3.3333333333333335"/>
    <n v="49.9"/>
    <n v="166.33333333333334"/>
    <s v="DUO"/>
    <s v="ABILIO DOUGLAS PACHECO"/>
    <x v="1"/>
    <s v="29/12/2025"/>
    <n v="2640"/>
    <n v="598"/>
    <n v="166.33333333333334"/>
    <n v="431.66666666666663"/>
    <m/>
  </r>
  <r>
    <s v="SD000228"/>
    <m/>
    <m/>
    <m/>
    <m/>
    <s v="DUO"/>
    <s v="WILLIAN C. ROCHA DE OLIVEIRA"/>
    <x v="0"/>
    <s v="02/01/2026"/>
    <n v="2640"/>
    <n v="598"/>
    <m/>
    <m/>
    <n v="598"/>
  </r>
  <r>
    <s v="SD000230"/>
    <n v="95"/>
    <n v="3.1666666666666665"/>
    <n v="49.9"/>
    <n v="158.01666666666665"/>
    <s v="DUO"/>
    <s v="ANDERSON ALVES CORREA"/>
    <x v="1"/>
    <s v="03/01/2026"/>
    <n v="2840"/>
    <n v="598"/>
    <n v="158.01666666666665"/>
    <n v="439.98333333333335"/>
    <m/>
  </r>
  <r>
    <s v="SD000231"/>
    <n v="88"/>
    <m/>
    <m/>
    <m/>
    <s v="DUO"/>
    <s v="GIANCARLO MOSCARDI ELIAS"/>
    <x v="0"/>
    <s v="10/01/2026"/>
    <n v="2244"/>
    <n v="598"/>
    <m/>
    <m/>
    <n v="598"/>
  </r>
  <r>
    <s v="SD000239"/>
    <m/>
    <m/>
    <m/>
    <m/>
    <s v="DUO"/>
    <s v="FABIO RODRIGO HERMES"/>
    <x v="0"/>
    <s v="08/01/2026"/>
    <n v="2529.34"/>
    <n v="598"/>
    <m/>
    <m/>
    <n v="598"/>
  </r>
  <r>
    <s v="SD000240"/>
    <n v="93"/>
    <m/>
    <m/>
    <m/>
    <s v="DUO"/>
    <s v="JOSÉ JOCELI FRANCISCO"/>
    <x v="0"/>
    <s v="05/01/2026"/>
    <n v="3240"/>
    <n v="598"/>
    <m/>
    <m/>
    <n v="598"/>
  </r>
  <r>
    <s v="SD000244"/>
    <n v="106"/>
    <n v="3.5333333333333332"/>
    <n v="49.9"/>
    <n v="176.31333333333333"/>
    <s v="DUO"/>
    <s v="ISABELE PRISCILA POLETTI C."/>
    <x v="1"/>
    <s v="23/12/2025"/>
    <n v="2640"/>
    <n v="598"/>
    <n v="176.31333333333333"/>
    <n v="421.68666666666667"/>
    <m/>
  </r>
  <r>
    <s v="SD000245"/>
    <n v="119"/>
    <m/>
    <m/>
    <m/>
    <s v="DUO"/>
    <s v="LEONARDO MARTINS FERNANDES"/>
    <x v="0"/>
    <s v="10/12/2025"/>
    <n v="2244"/>
    <n v="598"/>
    <m/>
    <m/>
    <n v="598"/>
  </r>
  <r>
    <s v="SD000248"/>
    <n v="115"/>
    <n v="3.8333333333333335"/>
    <n v="49.9"/>
    <n v="191.28333333333333"/>
    <s v="DUO"/>
    <s v="KAOANA VEIGA RODRIGUES"/>
    <x v="1"/>
    <s v="14/12/2025"/>
    <n v="2640"/>
    <n v="598"/>
    <n v="191.28333333333333"/>
    <n v="406.7166666666667"/>
    <m/>
  </r>
  <r>
    <s v="SD000249"/>
    <n v="115"/>
    <n v="3.8333333333333335"/>
    <n v="49.9"/>
    <n v="191.28333333333333"/>
    <s v="DUO"/>
    <s v="JONATHAM  JUNIOR PEREIRA"/>
    <x v="1"/>
    <s v="14/12/2025"/>
    <n v="2840"/>
    <n v="598"/>
    <n v="191.28333333333333"/>
    <n v="406.7166666666667"/>
    <m/>
  </r>
  <r>
    <s v="SD000250"/>
    <n v="118"/>
    <n v="3.9333333333333331"/>
    <n v="49.9"/>
    <n v="196.27333333333331"/>
    <s v="DUO"/>
    <s v="KAREN CRISTINE SILVA "/>
    <x v="1"/>
    <s v="11/12/2025"/>
    <n v="2840"/>
    <n v="598"/>
    <n v="196.27333333333331"/>
    <n v="401.72666666666669"/>
    <m/>
  </r>
  <r>
    <s v="SD000255"/>
    <n v="87"/>
    <n v="2.9"/>
    <n v="49.9"/>
    <n v="144.70999999999998"/>
    <s v="DUO"/>
    <s v="YAN FELIPE RESENDE ROSA"/>
    <x v="1"/>
    <s v="11/01/2026"/>
    <n v="2840"/>
    <n v="598"/>
    <n v="144.70999999999998"/>
    <n v="453.29"/>
    <m/>
  </r>
  <r>
    <s v="SD000257"/>
    <n v="116"/>
    <n v="3.8666666666666667"/>
    <n v="49.9"/>
    <n v="192.94666666666666"/>
    <s v="DUO"/>
    <s v="MARLEI ZUCCO MARTINS"/>
    <x v="1"/>
    <s v="13/12/2025"/>
    <n v="2640"/>
    <n v="598"/>
    <n v="192.94666666666666"/>
    <n v="405.05333333333334"/>
    <m/>
  </r>
  <r>
    <s v="SD000259"/>
    <n v="103"/>
    <n v="3.4333333333333331"/>
    <n v="49.9"/>
    <n v="171.32333333333332"/>
    <s v="DUO"/>
    <s v="LUIS ALBERTO GOMES MEDEIROS"/>
    <x v="1"/>
    <s v="26/12/2025"/>
    <n v="2840"/>
    <n v="598"/>
    <n v="171.32333333333332"/>
    <n v="426.67666666666668"/>
    <m/>
  </r>
  <r>
    <s v="SD000260"/>
    <n v="124"/>
    <n v="4.1333333333333337"/>
    <n v="49.9"/>
    <n v="206.25333333333336"/>
    <s v="DUO"/>
    <s v="ANTONIO CARLOS DOS SANTOS"/>
    <x v="1"/>
    <s v="05/12/2025"/>
    <n v="2840"/>
    <n v="598"/>
    <n v="206.25333333333336"/>
    <n v="391.74666666666667"/>
    <m/>
  </r>
  <r>
    <s v="SD000261"/>
    <n v="95"/>
    <n v="3.1666666666666665"/>
    <n v="49.9"/>
    <n v="158.01666666666665"/>
    <s v="DUO"/>
    <s v="YURI VENANCIO E SILVA"/>
    <x v="1"/>
    <s v="03/01/2026"/>
    <n v="2840"/>
    <n v="598"/>
    <n v="158.01666666666665"/>
    <n v="439.98333333333335"/>
    <m/>
  </r>
  <r>
    <s v="SD000262"/>
    <n v="96"/>
    <m/>
    <m/>
    <m/>
    <s v="DUO"/>
    <s v="BRUNA LUQUEZ AMARAL"/>
    <x v="0"/>
    <s v="02/01/2026"/>
    <n v="2244"/>
    <n v="598"/>
    <m/>
    <m/>
    <n v="598"/>
  </r>
  <r>
    <s v="SD000263"/>
    <m/>
    <m/>
    <m/>
    <m/>
    <s v="DUO"/>
    <s v="CHRISTIAN FONSECA ROSA"/>
    <x v="0"/>
    <s v="28/12/2025"/>
    <n v="2840"/>
    <n v="598"/>
    <m/>
    <m/>
    <n v="598"/>
  </r>
  <r>
    <s v="SD000265"/>
    <n v="97"/>
    <m/>
    <m/>
    <m/>
    <s v="DUO"/>
    <s v="EZEQUIEL SILVEIRA DO NASCIMENT"/>
    <x v="0"/>
    <s v="01/01/2026"/>
    <n v="2244"/>
    <n v="598"/>
    <m/>
    <m/>
    <n v="598"/>
  </r>
  <r>
    <s v="SD000271"/>
    <n v="98"/>
    <n v="3.2666666666666666"/>
    <n v="49.9"/>
    <n v="163.00666666666666"/>
    <s v="DUO"/>
    <s v="ANA PAULA R. DOS SANTOS ROSSI"/>
    <x v="1"/>
    <d v="2025-12-31T00:00:00"/>
    <n v="2485"/>
    <n v="598"/>
    <n v="163.00666666666666"/>
    <n v="434.99333333333334"/>
    <m/>
  </r>
  <r>
    <s v="SD000272"/>
    <n v="100"/>
    <m/>
    <m/>
    <m/>
    <s v="DUO"/>
    <s v="OSANA PEREIRA NOGUEIRA"/>
    <x v="0"/>
    <s v="29/12/2025"/>
    <n v="2040"/>
    <n v="598"/>
    <m/>
    <m/>
    <n v="598"/>
  </r>
  <r>
    <s v="SD000273"/>
    <n v="96"/>
    <n v="3.2"/>
    <n v="49.9"/>
    <n v="159.68"/>
    <s v="DUO"/>
    <s v="AMANDA GABRIEL DA SILVA"/>
    <x v="1"/>
    <s v="02/01/2026"/>
    <n v="2840"/>
    <n v="598"/>
    <n v="159.68"/>
    <n v="438.32"/>
    <m/>
  </r>
  <r>
    <s v="SD000274"/>
    <n v="92"/>
    <n v="3.0666666666666669"/>
    <n v="49.9"/>
    <n v="153.02666666666667"/>
    <s v="DUO"/>
    <s v="EMILLY ANTUNES"/>
    <x v="1"/>
    <s v="06/01/2026"/>
    <n v="2840"/>
    <n v="598"/>
    <n v="153.02666666666667"/>
    <n v="444.97333333333336"/>
    <m/>
  </r>
  <r>
    <s v="SD000276"/>
    <n v="93"/>
    <m/>
    <m/>
    <m/>
    <s v="DUO"/>
    <s v="HERICLES DA SILVA MAFALDA"/>
    <x v="0"/>
    <s v="05/01/2026"/>
    <n v="2244"/>
    <n v="598"/>
    <m/>
    <m/>
    <n v="598"/>
  </r>
  <r>
    <s v="SD000278"/>
    <n v="100"/>
    <n v="3.3333333333333335"/>
    <n v="49.9"/>
    <n v="166.33333333333334"/>
    <s v="DUO"/>
    <s v="GILMAR PEREIRA DE LIMA"/>
    <x v="1"/>
    <s v="29/12/2025"/>
    <n v="2840"/>
    <n v="598"/>
    <n v="166.33333333333334"/>
    <n v="431.66666666666663"/>
    <m/>
  </r>
  <r>
    <s v="SD000281"/>
    <n v="99"/>
    <m/>
    <m/>
    <m/>
    <s v="DUO"/>
    <s v="DEBORA KIETZA"/>
    <x v="0"/>
    <s v="30/12/2025"/>
    <n v="2244"/>
    <n v="598"/>
    <m/>
    <m/>
    <n v="598"/>
  </r>
  <r>
    <s v="SD000284"/>
    <n v="80"/>
    <m/>
    <m/>
    <m/>
    <s v="DUO"/>
    <s v="PETER ANDERSON PAULINO OLLEROS"/>
    <x v="0"/>
    <s v="18/01/2026"/>
    <n v="2039.03"/>
    <n v="598"/>
    <m/>
    <m/>
    <n v="598"/>
  </r>
  <r>
    <s v="SD000286"/>
    <n v="96"/>
    <m/>
    <m/>
    <m/>
    <s v="DUO"/>
    <s v="ALINE VALERIO VEIGA DA ROCHA"/>
    <x v="0"/>
    <s v="02/01/2026"/>
    <n v="2040"/>
    <n v="598"/>
    <m/>
    <m/>
    <n v="598"/>
  </r>
  <r>
    <s v="SD000289"/>
    <n v="89"/>
    <n v="2.9666666666666668"/>
    <n v="49.9"/>
    <n v="148.03666666666666"/>
    <s v="DUO"/>
    <s v="ETELVINA VIEIRA DA SILVA"/>
    <x v="1"/>
    <s v="09/01/2026"/>
    <n v="2840"/>
    <n v="598"/>
    <n v="148.03666666666666"/>
    <n v="449.96333333333337"/>
    <m/>
  </r>
  <r>
    <s v="SD000290"/>
    <n v="73"/>
    <m/>
    <m/>
    <m/>
    <s v="DUO"/>
    <s v="YUUKI BECKAUSER KODAKA SANTOS"/>
    <x v="0"/>
    <s v="25/01/2026"/>
    <n v="2244"/>
    <n v="598"/>
    <m/>
    <m/>
    <n v="598"/>
  </r>
  <r>
    <s v="SD000291"/>
    <n v="80"/>
    <m/>
    <m/>
    <m/>
    <s v="DUO"/>
    <s v="MARIO JOSÉ PEIXOTO JONES"/>
    <x v="0"/>
    <s v="18/01/2026"/>
    <n v="2040"/>
    <n v="598"/>
    <m/>
    <m/>
    <n v="598"/>
  </r>
  <r>
    <s v="SD000299"/>
    <m/>
    <m/>
    <m/>
    <m/>
    <s v="DUO"/>
    <s v="EDUARDA LYSSENHO APPARECIDA"/>
    <x v="0"/>
    <s v="21/01/2026"/>
    <n v="2640"/>
    <n v="598"/>
    <m/>
    <m/>
    <n v="598"/>
  </r>
  <r>
    <s v="SD000301"/>
    <n v="95"/>
    <m/>
    <m/>
    <m/>
    <s v="DUO"/>
    <s v="RICK REDIMAK PEREIRA"/>
    <x v="0"/>
    <s v="03/01/2026"/>
    <n v="2040"/>
    <n v="598"/>
    <m/>
    <m/>
    <n v="598"/>
  </r>
  <r>
    <s v="SD000306"/>
    <n v="109"/>
    <m/>
    <m/>
    <m/>
    <s v="DUO"/>
    <s v="EVERTON RAMOS PINHEIRO"/>
    <x v="0"/>
    <s v="20/12/2025"/>
    <n v="2244"/>
    <n v="598"/>
    <m/>
    <m/>
    <n v="598"/>
  </r>
  <r>
    <s v="SD000307"/>
    <n v="119"/>
    <m/>
    <m/>
    <m/>
    <s v="DUO"/>
    <s v="ANDERSON BENITES RORATTO"/>
    <x v="0"/>
    <s v="10/12/2025"/>
    <n v="2244"/>
    <n v="598"/>
    <m/>
    <m/>
    <n v="598"/>
  </r>
  <r>
    <s v="SD000308"/>
    <n v="89"/>
    <n v="2.9666666666666668"/>
    <n v="49.9"/>
    <n v="148.03666666666666"/>
    <s v="DUO"/>
    <s v="NAIARA MONCAYO PEREIRA"/>
    <x v="1"/>
    <s v="09/01/2026"/>
    <n v="2840"/>
    <n v="598"/>
    <n v="148.03666666666666"/>
    <n v="449.96333333333337"/>
    <m/>
  </r>
  <r>
    <s v="SD000309"/>
    <n v="79"/>
    <n v="2.6333333333333333"/>
    <n v="49.9"/>
    <n v="131.40333333333334"/>
    <s v="DUO"/>
    <s v="JEAN KASPECHACK KARAKAIVA"/>
    <x v="1"/>
    <s v="19/01/2026"/>
    <n v="2840"/>
    <n v="598"/>
    <n v="131.40333333333334"/>
    <n v="466.59666666666669"/>
    <m/>
  </r>
  <r>
    <s v="SD000352"/>
    <n v="84"/>
    <m/>
    <m/>
    <m/>
    <s v="DUO"/>
    <s v="JOSE CARLOS SOARES GOMES"/>
    <x v="0"/>
    <s v="14/01/2026"/>
    <n v="2040"/>
    <n v="598"/>
    <m/>
    <m/>
    <n v="598"/>
  </r>
  <r>
    <s v="SD000353"/>
    <n v="70"/>
    <m/>
    <m/>
    <m/>
    <s v="DUO"/>
    <s v="WELINTON APARECIDO DA SILVA"/>
    <x v="0"/>
    <s v="28/01/2026"/>
    <n v="2244"/>
    <n v="598"/>
    <m/>
    <m/>
    <n v="598"/>
  </r>
  <r>
    <s v="SD000354"/>
    <n v="75"/>
    <n v="2.5"/>
    <n v="49.9"/>
    <n v="124.75"/>
    <s v="DUO"/>
    <s v="IAM MATHEUS GONÇALVES B."/>
    <x v="1"/>
    <s v="23/01/2026"/>
    <n v="2840"/>
    <n v="598"/>
    <n v="124.75"/>
    <n v="473.25"/>
    <m/>
  </r>
  <r>
    <s v="SD000364"/>
    <n v="74"/>
    <m/>
    <m/>
    <m/>
    <s v="DUO"/>
    <s v="JUSSARA DIOLI LEPINSKI"/>
    <x v="0"/>
    <s v="24/01/2026"/>
    <n v="2244"/>
    <n v="598"/>
    <m/>
    <m/>
    <n v="598"/>
  </r>
  <r>
    <s v="SD000375"/>
    <n v="70"/>
    <n v="2.3333333333333335"/>
    <n v="49.9"/>
    <n v="116.43333333333334"/>
    <s v="DUO"/>
    <s v="ROSANA MARTINS SANTINA OLIVEIR"/>
    <x v="1"/>
    <s v="28/01/2026"/>
    <n v="2840"/>
    <n v="598"/>
    <n v="116.43333333333334"/>
    <n v="481.56666666666666"/>
    <m/>
  </r>
  <r>
    <s v="SL000003"/>
    <n v="140"/>
    <m/>
    <m/>
    <m/>
    <s v="FAMILIAR"/>
    <s v="FABIO HENRIQUE ALCANTRA F."/>
    <x v="0"/>
    <s v="19/11/2025"/>
    <n v="4611.96"/>
    <n v="1196"/>
    <m/>
    <m/>
    <n v="1196"/>
  </r>
  <r>
    <s v="SL000009"/>
    <n v="178"/>
    <n v="5.9333333333333336"/>
    <n v="99.9"/>
    <n v="592.74"/>
    <s v="FAMILIAR"/>
    <s v="DANIEL LUCAS DE MATTOS"/>
    <x v="1"/>
    <s v="12/10/2025"/>
    <n v="7581.96"/>
    <n v="1196"/>
    <n v="592.74"/>
    <n v="603.26"/>
    <m/>
  </r>
  <r>
    <s v="SL000010"/>
    <n v="178"/>
    <n v="5.9333333333333336"/>
    <n v="99.9"/>
    <n v="592.74"/>
    <s v="FAMILIAR"/>
    <s v="CAROLINE PERDIGUES"/>
    <x v="1"/>
    <s v="12/10/2025"/>
    <n v="7581.96"/>
    <n v="1196"/>
    <n v="592.74"/>
    <n v="603.26"/>
    <m/>
  </r>
  <r>
    <s v="SL000011"/>
    <n v="178"/>
    <n v="5.9333333333333336"/>
    <n v="99.9"/>
    <n v="592.74"/>
    <s v="FAMILIAR"/>
    <s v="ALCEU DE OLIVEIRA"/>
    <x v="1"/>
    <s v="12/10/2025"/>
    <n v="7581.96"/>
    <n v="1196"/>
    <n v="592.74"/>
    <n v="603.26"/>
    <m/>
  </r>
  <r>
    <s v="SL000014"/>
    <n v="164"/>
    <n v="5.4666666666666668"/>
    <n v="99.9"/>
    <n v="546.12"/>
    <s v="FAMILIAR"/>
    <s v="DEBORA DIJKSTRA"/>
    <x v="1"/>
    <s v="26/10/2025"/>
    <n v="6681.96"/>
    <n v="1196"/>
    <n v="546.12"/>
    <n v="649.88"/>
    <m/>
  </r>
  <r>
    <s v="SL000015"/>
    <n v="149"/>
    <n v="4.9666666666666668"/>
    <n v="99.9"/>
    <n v="496.17"/>
    <s v="FAMILIAR"/>
    <s v="JULIO DE OLIVEIRA JUNIOR"/>
    <x v="1"/>
    <s v="10/11/2025"/>
    <n v="7581.96"/>
    <n v="1196"/>
    <n v="496.17"/>
    <n v="699.82999999999993"/>
    <m/>
  </r>
  <r>
    <s v="SL000016"/>
    <n v="165"/>
    <n v="5.5"/>
    <n v="99.9"/>
    <n v="549.45000000000005"/>
    <s v="FAMILIAR"/>
    <s v="EMERSON EDUARDO TOLDO"/>
    <x v="1"/>
    <s v="25/10/2025"/>
    <n v="6681.96"/>
    <n v="1196"/>
    <n v="549.45000000000005"/>
    <n v="646.54999999999995"/>
    <m/>
  </r>
  <r>
    <s v="SL000017"/>
    <n v="165"/>
    <n v="5.5"/>
    <n v="99.9"/>
    <n v="549.45000000000005"/>
    <s v="FAMILIAR"/>
    <s v="PEDRO ALEXANDRE SOUZA PEREIRA"/>
    <x v="1"/>
    <s v="25/10/2025"/>
    <n v="7581.96"/>
    <n v="1196"/>
    <n v="549.45000000000005"/>
    <n v="646.54999999999995"/>
    <m/>
  </r>
  <r>
    <s v="SL000020"/>
    <n v="178"/>
    <n v="5.9333333333333336"/>
    <n v="99.9"/>
    <n v="592.74"/>
    <s v="FAMILIAR"/>
    <s v="SERGIO VIANA "/>
    <x v="1"/>
    <s v="12/10/2025"/>
    <n v="6681.96"/>
    <n v="1196"/>
    <n v="592.74"/>
    <n v="603.26"/>
    <m/>
  </r>
  <r>
    <s v="SL000023"/>
    <n v="174"/>
    <n v="5.8"/>
    <n v="99.9"/>
    <n v="579.41999999999996"/>
    <s v="FAMILIAR"/>
    <s v="RODRIGO ALVES DE ALCANTRA"/>
    <x v="1"/>
    <s v="16/10/2025"/>
    <n v="7581.96"/>
    <n v="1196"/>
    <n v="579.41999999999996"/>
    <n v="616.58000000000004"/>
    <m/>
  </r>
  <r>
    <s v="SL000024"/>
    <n v="174"/>
    <n v="5.8"/>
    <n v="99.9"/>
    <n v="579.41999999999996"/>
    <s v="FAMILIAR"/>
    <s v="CLEVERSON BAGATOLI"/>
    <x v="1"/>
    <s v="16/10/2025"/>
    <n v="7581.96"/>
    <n v="1196"/>
    <n v="579.41999999999996"/>
    <n v="616.58000000000004"/>
    <m/>
  </r>
  <r>
    <s v="SL000026"/>
    <n v="150"/>
    <n v="5"/>
    <n v="99.9"/>
    <n v="499.5"/>
    <s v="FAMILIAR"/>
    <s v="ADRIELE DA SILVEIRA V/ PUROVAR"/>
    <x v="1"/>
    <s v="09/11/2025"/>
    <n v="6681.96"/>
    <n v="1196"/>
    <n v="499.5"/>
    <n v="696.5"/>
    <m/>
  </r>
  <r>
    <s v="SL000028"/>
    <n v="178"/>
    <n v="5.9333333333333336"/>
    <n v="99.9"/>
    <n v="592.74"/>
    <s v="FAMILIAR"/>
    <s v="KLEVERSON CORDEIRO FRITAS"/>
    <x v="1"/>
    <s v="12/10/2025"/>
    <n v="6681.96"/>
    <n v="1196"/>
    <n v="592.74"/>
    <n v="603.26"/>
    <m/>
  </r>
  <r>
    <s v="SL000032"/>
    <n v="160"/>
    <m/>
    <m/>
    <m/>
    <s v="FAMILIAR"/>
    <s v="RENEY SPINDOLA"/>
    <x v="0"/>
    <s v="30/10/2025"/>
    <n v="4611.96"/>
    <n v="1196"/>
    <m/>
    <m/>
    <n v="1196"/>
  </r>
  <r>
    <s v="SL000035"/>
    <n v="156"/>
    <m/>
    <m/>
    <m/>
    <s v="FAMILIAR"/>
    <s v="JOÃO VICTOR PINHEIRO D/ NASCIM"/>
    <x v="0"/>
    <s v="03/11/2025"/>
    <n v="4188"/>
    <n v="1196"/>
    <m/>
    <m/>
    <n v="1196"/>
  </r>
  <r>
    <s v="SL000036"/>
    <n v="170"/>
    <n v="5.666666666666667"/>
    <n v="99.9"/>
    <n v="566.1"/>
    <s v="FAMILIAR"/>
    <s v="KETTERYM DA SILVA CARVALHO"/>
    <x v="1"/>
    <s v="20/10/2025"/>
    <n v="6681.96"/>
    <n v="1196"/>
    <n v="566.1"/>
    <n v="629.9"/>
    <m/>
  </r>
  <r>
    <s v="SL000039"/>
    <n v="170"/>
    <n v="5.666666666666667"/>
    <n v="99.9"/>
    <n v="566.1"/>
    <s v="FAMILIAR"/>
    <s v="ORLANDO STVARTT SILVA"/>
    <x v="1"/>
    <s v="20/10/2025"/>
    <n v="7581.96"/>
    <n v="1196"/>
    <n v="566.1"/>
    <n v="629.9"/>
    <m/>
  </r>
  <r>
    <s v="SL000040"/>
    <n v="170"/>
    <m/>
    <m/>
    <m/>
    <s v="FAMILIAR"/>
    <s v="JOSE ADERICO DE BIASSIO"/>
    <x v="0"/>
    <s v="20/10/2025"/>
    <n v="4611.96"/>
    <n v="1196"/>
    <m/>
    <m/>
    <n v="1196"/>
  </r>
  <r>
    <s v="SL000042"/>
    <n v="172"/>
    <n v="5.7333333333333334"/>
    <n v="99.9"/>
    <n v="572.76"/>
    <s v="FAMILIAR"/>
    <s v="JOSÉ CARLOS DA SILVA"/>
    <x v="1"/>
    <s v="18/10/2025"/>
    <n v="7581.96"/>
    <n v="1196"/>
    <n v="572.76"/>
    <n v="623.24"/>
    <m/>
  </r>
  <r>
    <s v="SL000043"/>
    <n v="149"/>
    <n v="4.9666666666666668"/>
    <n v="99.9"/>
    <n v="496.17"/>
    <s v="FAMILIAR"/>
    <s v="TAMIRES GONLALVES"/>
    <x v="1"/>
    <s v="10/11/2025"/>
    <n v="6681.96"/>
    <n v="1196"/>
    <n v="496.17"/>
    <n v="699.82999999999993"/>
    <m/>
  </r>
  <r>
    <s v="SL000044"/>
    <n v="149"/>
    <n v="4.9666666666666668"/>
    <n v="99.9"/>
    <n v="496.17"/>
    <s v="FAMILIAR"/>
    <s v="LUIZ ROBERTO DE LIMA"/>
    <x v="1"/>
    <s v="10/11/2025"/>
    <n v="7581.96"/>
    <n v="1196"/>
    <n v="496.17"/>
    <n v="699.82999999999993"/>
    <m/>
  </r>
  <r>
    <s v="SL000045"/>
    <n v="170"/>
    <n v="5.666666666666667"/>
    <n v="99.9"/>
    <n v="566.1"/>
    <s v="FAMILIAR"/>
    <s v="FABIO FELIPE ELIAS DE MENEZES"/>
    <x v="1"/>
    <s v="20/10/2025"/>
    <n v="6681.96"/>
    <n v="1196"/>
    <n v="566.1"/>
    <n v="629.9"/>
    <m/>
  </r>
  <r>
    <s v="SL000046"/>
    <n v="149"/>
    <n v="4.9666666666666668"/>
    <n v="99.9"/>
    <n v="496.17"/>
    <s v="FAMILIAR"/>
    <s v="FELIPE LEANDRO CAVALLI SFORZA"/>
    <x v="1"/>
    <s v="10/11/2025"/>
    <n v="7881.96"/>
    <n v="1196"/>
    <n v="496.17"/>
    <n v="699.82999999999993"/>
    <m/>
  </r>
  <r>
    <s v="SL000048"/>
    <n v="178"/>
    <n v="5.9333333333333336"/>
    <n v="99.9"/>
    <n v="592.74"/>
    <s v="FAMILIAR"/>
    <s v="MARCELINO JOSE LOPES"/>
    <x v="1"/>
    <s v="12/10/2025"/>
    <n v="6681.96"/>
    <n v="1196"/>
    <n v="592.74"/>
    <n v="603.26"/>
    <m/>
  </r>
  <r>
    <s v="SL000052"/>
    <n v="124"/>
    <n v="4.1333333333333337"/>
    <n v="99.9"/>
    <n v="412.92000000000007"/>
    <s v="FAMILIAR"/>
    <s v="KELY DENISE MICHELO DOS SANTOS"/>
    <x v="1"/>
    <s v="05/12/2025"/>
    <n v="7581.96"/>
    <n v="1196"/>
    <n v="412.92000000000007"/>
    <n v="783.07999999999993"/>
    <m/>
  </r>
  <r>
    <s v="SL000055"/>
    <n v="170"/>
    <m/>
    <m/>
    <m/>
    <s v="FAMILIAR"/>
    <s v="RICARDO ROSS"/>
    <x v="0"/>
    <s v="20/10/2025"/>
    <n v="7788"/>
    <n v="1196"/>
    <m/>
    <m/>
    <n v="1196"/>
  </r>
  <r>
    <s v="SL000056"/>
    <n v="164"/>
    <m/>
    <m/>
    <m/>
    <s v="FAMILIAR"/>
    <s v="RHANNA MAYLA DE AVILA"/>
    <x v="0"/>
    <s v="26/10/2025"/>
    <n v="4188"/>
    <n v="1196"/>
    <m/>
    <m/>
    <n v="1196"/>
  </r>
  <r>
    <s v="SL000058"/>
    <n v="164"/>
    <n v="5.4666666666666668"/>
    <n v="99.9"/>
    <n v="546.12"/>
    <s v="FAMILIAR"/>
    <s v="RODRIGO GONÇALVES RODRIGUES"/>
    <x v="1"/>
    <s v="26/10/2025"/>
    <n v="11481.9"/>
    <n v="1196"/>
    <n v="546.12"/>
    <n v="649.88"/>
    <m/>
  </r>
  <r>
    <s v="SL000059"/>
    <n v="170"/>
    <m/>
    <m/>
    <m/>
    <s v="FAMILIAR"/>
    <s v="PAULO S. DA SILVA JUNIOR"/>
    <x v="0"/>
    <s v="20/10/2025"/>
    <n v="4611.96"/>
    <n v="1196"/>
    <m/>
    <m/>
    <n v="1196"/>
  </r>
  <r>
    <s v="SL000060"/>
    <n v="164"/>
    <m/>
    <m/>
    <m/>
    <s v="FAMILIAR"/>
    <s v="LEANDRO LESSA AZEVEDO PEREIRA"/>
    <x v="0"/>
    <s v="26/10/2025"/>
    <n v="4611.96"/>
    <n v="1196"/>
    <m/>
    <m/>
    <n v="1196"/>
  </r>
  <r>
    <s v="SL000061"/>
    <n v="172"/>
    <m/>
    <m/>
    <m/>
    <s v="FAMILIAR"/>
    <s v="WESLEY PEREIRA BATISTA"/>
    <x v="0"/>
    <s v="18/10/2025"/>
    <n v="5811.96"/>
    <n v="1196"/>
    <m/>
    <m/>
    <n v="1196"/>
  </r>
  <r>
    <s v="SL000062"/>
    <n v="167"/>
    <m/>
    <m/>
    <m/>
    <s v="FAMILIAR"/>
    <s v="JOÃO FLAVIS"/>
    <x v="0"/>
    <s v="23/10/2025"/>
    <n v="4188"/>
    <n v="1196"/>
    <m/>
    <m/>
    <n v="1196"/>
  </r>
  <r>
    <s v="SL000063"/>
    <n v="173"/>
    <m/>
    <m/>
    <m/>
    <s v="FAMILIAR"/>
    <s v="PAULO ROBERTO ALEXANDRINO DA/S"/>
    <x v="0"/>
    <s v="17/10/2025"/>
    <n v="4611.96"/>
    <n v="1196"/>
    <m/>
    <m/>
    <n v="1196"/>
  </r>
  <r>
    <s v="SL000066"/>
    <n v="163"/>
    <n v="5.4333333333333336"/>
    <n v="99.9"/>
    <n v="542.79000000000008"/>
    <s v="FAMILIAR"/>
    <s v="JEAN M. DOS SANTOS"/>
    <x v="1"/>
    <s v="27/10/2025"/>
    <n v="6681.96"/>
    <n v="1196"/>
    <n v="542.79000000000008"/>
    <n v="653.20999999999992"/>
    <m/>
  </r>
  <r>
    <s v="SL000067"/>
    <n v="161"/>
    <n v="5.3666666666666663"/>
    <n v="99.9"/>
    <n v="536.13"/>
    <s v="FAMILIAR"/>
    <s v="ROBERTA W. CARVALHO FORTUNATO"/>
    <x v="1"/>
    <s v="29/10/2025"/>
    <n v="6681.96"/>
    <n v="1196"/>
    <n v="536.13"/>
    <n v="659.87"/>
    <m/>
  </r>
  <r>
    <s v="SL000069"/>
    <n v="178"/>
    <n v="5.9333333333333336"/>
    <n v="99.9"/>
    <n v="592.74"/>
    <s v="FAMILIAR"/>
    <s v="MOISES STELMA"/>
    <x v="1"/>
    <s v="12/10/2025"/>
    <n v="6681.96"/>
    <n v="1196"/>
    <n v="592.74"/>
    <n v="603.26"/>
    <m/>
  </r>
  <r>
    <s v="SL000074"/>
    <n v="159"/>
    <n v="5.3"/>
    <n v="99.9"/>
    <n v="529.47"/>
    <s v="FAMILIAR"/>
    <s v="SILVENEI DE CAMPOS"/>
    <x v="1"/>
    <s v="31/10/2025"/>
    <n v="6681.96"/>
    <n v="1196"/>
    <n v="529.47"/>
    <n v="666.53"/>
    <m/>
  </r>
  <r>
    <s v="SL000075"/>
    <n v="168"/>
    <m/>
    <m/>
    <m/>
    <s v="FAMILIAR"/>
    <s v="RICARDO CORREA FERREIRA"/>
    <x v="0"/>
    <s v="22/10/2025"/>
    <n v="4611.96"/>
    <n v="1196"/>
    <m/>
    <m/>
    <n v="1196"/>
  </r>
  <r>
    <s v="SL000076"/>
    <n v="178"/>
    <m/>
    <m/>
    <m/>
    <s v="FAMILIAR"/>
    <s v="ELIZER ARALTE "/>
    <x v="0"/>
    <s v="12/10/2025"/>
    <n v="4611.96"/>
    <n v="1196"/>
    <m/>
    <m/>
    <n v="1196"/>
  </r>
  <r>
    <s v="SL000081"/>
    <n v="154"/>
    <n v="5.1333333333333337"/>
    <n v="99.9"/>
    <n v="512.82000000000005"/>
    <s v="FAMILIAR"/>
    <s v="CARLOS ALBERTO MODERTO R"/>
    <x v="1"/>
    <s v="05/11/2025"/>
    <n v="6681.96"/>
    <n v="1196"/>
    <n v="512.82000000000005"/>
    <n v="683.18"/>
    <m/>
  </r>
  <r>
    <s v="SL000082"/>
    <n v="153"/>
    <n v="5.0999999999999996"/>
    <n v="99.9"/>
    <n v="509.49"/>
    <s v="FAMILIAR"/>
    <s v="FERNANDO JOSE DOS SANTOS"/>
    <x v="1"/>
    <s v="06/11/2025"/>
    <n v="6681.96"/>
    <n v="1196"/>
    <n v="509.49"/>
    <n v="686.51"/>
    <m/>
  </r>
  <r>
    <s v="SL000085"/>
    <n v="133"/>
    <n v="4.4333333333333336"/>
    <n v="99.9"/>
    <n v="442.89000000000004"/>
    <s v="FAMILIAR"/>
    <s v="JOELMA DURÕES DE SOUZA LIMA "/>
    <x v="1"/>
    <s v="26/11/2025"/>
    <n v="6681.96"/>
    <n v="1196"/>
    <n v="442.89000000000004"/>
    <n v="753.1099999999999"/>
    <m/>
  </r>
  <r>
    <s v="SL000086"/>
    <m/>
    <m/>
    <m/>
    <m/>
    <s v="FAMILIAR"/>
    <s v="PAULO PADILHA DE SOUZA"/>
    <x v="0"/>
    <s v="14/10/2025"/>
    <n v="5811.96"/>
    <n v="1196"/>
    <m/>
    <m/>
    <n v="1196"/>
  </r>
  <r>
    <s v="SL000087"/>
    <n v="129"/>
    <n v="4.3"/>
    <n v="99.9"/>
    <n v="429.57"/>
    <s v="FAMILIAR"/>
    <s v="RAFHAEL PIOVEZON DISSENHA"/>
    <x v="1"/>
    <s v="30/11/2025"/>
    <n v="7581.96"/>
    <n v="1196"/>
    <n v="429.57"/>
    <n v="766.43000000000006"/>
    <m/>
  </r>
  <r>
    <s v="SL000088"/>
    <n v="159"/>
    <m/>
    <m/>
    <m/>
    <s v="FAMILIAR"/>
    <s v="JOSE ORSILEI DONDA"/>
    <x v="0"/>
    <s v="31/10/2025"/>
    <n v="5811.96"/>
    <n v="1196"/>
    <m/>
    <m/>
    <n v="1196"/>
  </r>
  <r>
    <s v="SL000090"/>
    <n v="168"/>
    <n v="5.6"/>
    <n v="99.9"/>
    <n v="559.43999999999994"/>
    <s v="FAMILIAR"/>
    <s v="THIAGO DE JESUS"/>
    <x v="1"/>
    <s v="22/10/2025"/>
    <n v="6681.96"/>
    <n v="1196"/>
    <n v="559.43999999999994"/>
    <n v="636.56000000000006"/>
    <m/>
  </r>
  <r>
    <s v="SL000092"/>
    <n v="178"/>
    <n v="5.9333333333333336"/>
    <n v="99.9"/>
    <n v="592.74"/>
    <s v="FAMILIAR"/>
    <s v="KALLIANNY CHRISTINI DE OL/ BAT"/>
    <x v="1"/>
    <s v="12/10/2025"/>
    <n v="7581.96"/>
    <n v="1196"/>
    <n v="592.74"/>
    <n v="603.26"/>
    <m/>
  </r>
  <r>
    <s v="SL000099"/>
    <n v="178"/>
    <n v="5.9333333333333336"/>
    <n v="99.9"/>
    <n v="592.74"/>
    <s v="FAMILIAR"/>
    <s v="MAYCO BRUM"/>
    <x v="1"/>
    <s v="12/10/2025"/>
    <n v="7581.96"/>
    <n v="1196"/>
    <n v="592.74"/>
    <n v="603.26"/>
    <m/>
  </r>
  <r>
    <s v="SL000101"/>
    <n v="178"/>
    <n v="5.9333333333333336"/>
    <n v="99.9"/>
    <n v="592.74"/>
    <s v="FAMILIAR"/>
    <s v="MOISES APOLONIO CUNHA"/>
    <x v="1"/>
    <s v="12/10/2025"/>
    <n v="6681.96"/>
    <n v="1196"/>
    <n v="592.74"/>
    <n v="603.26"/>
    <m/>
  </r>
  <r>
    <s v="SL000102"/>
    <n v="137"/>
    <n v="4.5666666666666664"/>
    <n v="99.9"/>
    <n v="456.21"/>
    <s v="FAMILIAR"/>
    <s v="FERNANDO MATTOS  BERGER"/>
    <x v="1"/>
    <s v="22/11/2025"/>
    <n v="7581.96"/>
    <n v="1196"/>
    <n v="456.21"/>
    <n v="739.79"/>
    <m/>
  </r>
  <r>
    <s v="SL000103"/>
    <n v="130"/>
    <m/>
    <m/>
    <m/>
    <s v="FAMILIAR"/>
    <s v="GUSTAVO JOSÉ VEBEL JOSLIN"/>
    <x v="0"/>
    <s v="29/11/2025"/>
    <n v="4611.96"/>
    <n v="1196"/>
    <m/>
    <m/>
    <n v="1196"/>
  </r>
  <r>
    <s v="SL000110"/>
    <n v="165"/>
    <m/>
    <m/>
    <m/>
    <s v="FAMILIAR"/>
    <s v="DOUGLAS BATISTA BOZI"/>
    <x v="0"/>
    <s v="25/10/2025"/>
    <n v="4188"/>
    <n v="1196"/>
    <m/>
    <m/>
    <n v="1196"/>
  </r>
  <r>
    <s v="SL000111"/>
    <n v="157"/>
    <m/>
    <m/>
    <m/>
    <s v="FAMILIAR"/>
    <s v="DANIEL RODRIGUES DOS SANTOS"/>
    <x v="0"/>
    <s v="02/11/2025"/>
    <n v="4611.96"/>
    <n v="1196"/>
    <m/>
    <m/>
    <n v="1196"/>
  </r>
  <r>
    <s v="SL000115"/>
    <n v="105"/>
    <m/>
    <m/>
    <m/>
    <s v="FAMILIAR"/>
    <s v="ISRAEL BORGES OLIVEIRA"/>
    <x v="0"/>
    <s v="24/12/2025"/>
    <n v="4611.96"/>
    <n v="1196"/>
    <m/>
    <m/>
    <n v="1196"/>
  </r>
  <r>
    <s v="SL000116"/>
    <n v="169"/>
    <m/>
    <m/>
    <m/>
    <s v="FAMILIAR"/>
    <s v="JAQUELINE ISABEL CAREAGA JANS"/>
    <x v="0"/>
    <s v="21/10/2025"/>
    <n v="4611.96"/>
    <n v="1196"/>
    <m/>
    <m/>
    <n v="1196"/>
  </r>
  <r>
    <s v="SL000117"/>
    <n v="131"/>
    <n v="4.3666666666666663"/>
    <n v="99.9"/>
    <n v="436.22999999999996"/>
    <s v="FAMILIAR"/>
    <s v="MARGARETHE TERRA ALCANTARA"/>
    <x v="1"/>
    <s v="28/11/2025"/>
    <n v="7581.96"/>
    <n v="1196"/>
    <n v="436.22999999999996"/>
    <n v="759.77"/>
    <m/>
  </r>
  <r>
    <s v="SL000118"/>
    <n v="144"/>
    <m/>
    <m/>
    <m/>
    <s v="FAMILIAR"/>
    <s v="MAURICIO FRANCO DE JESUS"/>
    <x v="0"/>
    <s v="15/11/2025"/>
    <n v="4188"/>
    <n v="1196"/>
    <m/>
    <m/>
    <n v="1196"/>
  </r>
  <r>
    <s v="SL000120"/>
    <n v="170"/>
    <m/>
    <m/>
    <m/>
    <s v="FAMILIAR"/>
    <s v="OTAVIO HENRIQUE B.G. DE ARAUJO"/>
    <x v="0"/>
    <s v="20/10/2025"/>
    <n v="4611.96"/>
    <n v="1196"/>
    <m/>
    <m/>
    <n v="1196"/>
  </r>
  <r>
    <s v="SL000121"/>
    <n v="131"/>
    <n v="4.3666666666666663"/>
    <n v="99.9"/>
    <n v="436.22999999999996"/>
    <s v="FAMILIAR"/>
    <s v="ELIO GONZALO BOLIVAR PADRINO"/>
    <x v="1"/>
    <s v="28/11/2025"/>
    <n v="7581.96"/>
    <n v="1196"/>
    <n v="436.22999999999996"/>
    <n v="759.77"/>
    <m/>
  </r>
  <r>
    <s v="SL000122"/>
    <n v="161"/>
    <n v="5.3666666666666663"/>
    <n v="99.9"/>
    <n v="536.13"/>
    <s v="FAMILIAR"/>
    <s v="FABIO ROGERIO M. PINHEIRO"/>
    <x v="1"/>
    <s v="29/10/2025"/>
    <n v="6681.96"/>
    <n v="1196"/>
    <n v="536.13"/>
    <n v="659.87"/>
    <m/>
  </r>
  <r>
    <s v="SL000123"/>
    <n v="159"/>
    <n v="5.3"/>
    <n v="99.9"/>
    <n v="529.47"/>
    <s v="FAMILIAR"/>
    <s v="JOSELITA GUILHERME MIRANDA"/>
    <x v="1"/>
    <s v="31/10/2025"/>
    <n v="7881.96"/>
    <n v="1196"/>
    <n v="529.47"/>
    <n v="666.53"/>
    <m/>
  </r>
  <r>
    <s v="SL000124"/>
    <n v="177"/>
    <m/>
    <m/>
    <m/>
    <s v="FAMILIAR"/>
    <s v="ONEIDA ZAMERMON"/>
    <x v="0"/>
    <s v="13/10/2025"/>
    <n v="4188"/>
    <n v="1196"/>
    <m/>
    <m/>
    <n v="1196"/>
  </r>
  <r>
    <s v="SL000125"/>
    <n v="177"/>
    <m/>
    <m/>
    <m/>
    <s v="FAMILIAR"/>
    <s v="ALAN OLIVEIRA"/>
    <x v="0"/>
    <s v="13/10/2025"/>
    <n v="5811.96"/>
    <n v="1196"/>
    <m/>
    <m/>
    <n v="1196"/>
  </r>
  <r>
    <s v="SL000126"/>
    <n v="129"/>
    <n v="4.3"/>
    <n v="99.9"/>
    <n v="429.57"/>
    <s v="FAMILIAR"/>
    <s v="SEBASTIAN HENRIQUE D/ SILVA /S"/>
    <x v="1"/>
    <s v="30/11/2025"/>
    <n v="7581.96"/>
    <n v="1196"/>
    <n v="429.57"/>
    <n v="766.43000000000006"/>
    <m/>
  </r>
  <r>
    <s v="SL000127"/>
    <n v="137"/>
    <n v="4.5666666666666664"/>
    <n v="99.9"/>
    <n v="456.21"/>
    <s v="FAMILIAR"/>
    <s v="ALYSON VONKRUGER"/>
    <x v="1"/>
    <s v="22/11/2025"/>
    <n v="6681.96"/>
    <n v="1196"/>
    <n v="456.21"/>
    <n v="739.79"/>
    <m/>
  </r>
  <r>
    <s v="SL000128"/>
    <n v="138"/>
    <n v="4.5999999999999996"/>
    <n v="99.9"/>
    <n v="459.53999999999996"/>
    <s v="FAMILIAR"/>
    <s v="DANIEL JK KEKUCHE"/>
    <x v="1"/>
    <s v="21/11/2025"/>
    <n v="7581.96"/>
    <n v="1196"/>
    <n v="459.53999999999996"/>
    <n v="736.46"/>
    <m/>
  </r>
  <r>
    <s v="SL000134"/>
    <n v="154"/>
    <n v="5.1333333333333337"/>
    <n v="99.9"/>
    <n v="512.82000000000005"/>
    <s v="FAMILIAR"/>
    <s v="VALDECIR DE ANDRADE PERREIRA"/>
    <x v="1"/>
    <s v="05/11/2025"/>
    <n v="6681.96"/>
    <n v="1196"/>
    <n v="512.82000000000005"/>
    <n v="683.18"/>
    <m/>
  </r>
  <r>
    <s v="SL000146"/>
    <n v="164"/>
    <n v="5.4666666666666668"/>
    <n v="99.9"/>
    <n v="546.12"/>
    <s v="FAMILIAR"/>
    <s v="EDSON CRISTIAN DA SILVA"/>
    <x v="1"/>
    <s v="26/10/2025"/>
    <n v="6681.96"/>
    <n v="1196"/>
    <n v="546.12"/>
    <n v="649.88"/>
    <m/>
  </r>
  <r>
    <s v="SL000147"/>
    <n v="167"/>
    <m/>
    <m/>
    <m/>
    <s v="FAMILIAR"/>
    <s v="JEFFERSON CHISTIANO DA SILVA"/>
    <x v="0"/>
    <s v="23/10/2025"/>
    <n v="4611.96"/>
    <n v="1196"/>
    <m/>
    <m/>
    <n v="1196"/>
  </r>
  <r>
    <s v="SL000151"/>
    <n v="170"/>
    <n v="5.666666666666667"/>
    <n v="99.9"/>
    <n v="566.1"/>
    <s v="FAMILIAR"/>
    <s v="JESSICA BUTZKE SILVA"/>
    <x v="1"/>
    <s v="20/10/2025"/>
    <n v="6681.96"/>
    <n v="1196"/>
    <n v="566.1"/>
    <n v="629.9"/>
    <m/>
  </r>
  <r>
    <s v="SL000154"/>
    <n v="149"/>
    <n v="4.9666666666666668"/>
    <n v="99.9"/>
    <n v="496.17"/>
    <s v="FAMILIAR"/>
    <s v="JULIO CESAM BONATO"/>
    <x v="1"/>
    <s v="10/11/2025"/>
    <n v="9082.02"/>
    <n v="1196"/>
    <n v="496.17"/>
    <n v="699.82999999999993"/>
    <m/>
  </r>
  <r>
    <s v="SL000156"/>
    <n v="148"/>
    <m/>
    <m/>
    <m/>
    <s v="FAMILIAR"/>
    <s v="MARCIO ROGERIO DO VALE"/>
    <x v="0"/>
    <s v="11/11/2025"/>
    <n v="4611.96"/>
    <n v="1196"/>
    <m/>
    <m/>
    <n v="1196"/>
  </r>
  <r>
    <s v="SL000157"/>
    <n v="164"/>
    <n v="5.4666666666666668"/>
    <n v="99.9"/>
    <n v="546.12"/>
    <s v="FAMILIAR"/>
    <s v="SOLANGE DA SILVA CARDOSO C."/>
    <x v="1"/>
    <s v="26/10/2025"/>
    <n v="6681.96"/>
    <n v="1196"/>
    <n v="546.12"/>
    <n v="649.88"/>
    <m/>
  </r>
  <r>
    <s v="SL000158"/>
    <n v="161"/>
    <n v="5.3666666666666663"/>
    <n v="99.9"/>
    <n v="536.13"/>
    <s v="FAMILIAR"/>
    <s v="DAYANE ALVES DA SILVA"/>
    <x v="1"/>
    <s v="29/10/2025"/>
    <n v="6681.96"/>
    <n v="1196"/>
    <n v="536.13"/>
    <n v="659.87"/>
    <m/>
  </r>
  <r>
    <s v="SL000159"/>
    <n v="170"/>
    <n v="5.666666666666667"/>
    <n v="99.9"/>
    <n v="566.1"/>
    <s v="FAMILIAR"/>
    <s v="KAUE CIOLI BRUNING"/>
    <x v="1"/>
    <s v="20/10/2025"/>
    <n v="6681.96"/>
    <n v="1196"/>
    <n v="566.1"/>
    <n v="629.9"/>
    <m/>
  </r>
  <r>
    <s v="SL000160"/>
    <n v="137"/>
    <n v="4.5666666666666664"/>
    <n v="99.9"/>
    <n v="456.21"/>
    <s v="FAMILIAR"/>
    <s v="RIVADAYA GAUDINO FERREIRA JR"/>
    <x v="1"/>
    <s v="22/11/2025"/>
    <n v="6681.96"/>
    <n v="1196"/>
    <n v="456.21"/>
    <n v="739.79"/>
    <m/>
  </r>
  <r>
    <s v="SL000161"/>
    <n v="159"/>
    <n v="5.3"/>
    <n v="99.9"/>
    <n v="529.47"/>
    <s v="FAMILIAR"/>
    <s v="CAMILA SOARES DO NASCIMENTO AL"/>
    <x v="1"/>
    <s v="31/10/2025"/>
    <n v="7881.96"/>
    <n v="1196"/>
    <n v="529.47"/>
    <n v="666.53"/>
    <m/>
  </r>
  <r>
    <s v="SL000163"/>
    <n v="149"/>
    <m/>
    <m/>
    <m/>
    <s v="FAMILIAR"/>
    <s v="REGINA MARQUES PEREIRA DE JESU"/>
    <x v="0"/>
    <s v="10/11/2025"/>
    <n v="4611.96"/>
    <n v="1196"/>
    <m/>
    <m/>
    <n v="1196"/>
  </r>
  <r>
    <s v="SL000165"/>
    <n v="160"/>
    <n v="5.333333333333333"/>
    <n v="99.9"/>
    <n v="532.79999999999995"/>
    <s v="FAMILIAR"/>
    <s v="JOSÉ ARGEU M. KUSTER JUNIOR"/>
    <x v="1"/>
    <s v="30/10/2025"/>
    <n v="6681.96"/>
    <n v="1196"/>
    <n v="532.79999999999995"/>
    <n v="663.2"/>
    <m/>
  </r>
  <r>
    <s v="SL000167"/>
    <n v="138"/>
    <n v="4.5999999999999996"/>
    <n v="99.9"/>
    <n v="459.53999999999996"/>
    <s v="FAMILIAR"/>
    <s v="LEO FERREIRA DOS SANTOS"/>
    <x v="1"/>
    <s v="21/11/2025"/>
    <n v="7581.96"/>
    <n v="1196"/>
    <n v="459.53999999999996"/>
    <n v="736.46"/>
    <m/>
  </r>
  <r>
    <s v="SL000168"/>
    <n v="140"/>
    <n v="4.666666666666667"/>
    <n v="99.9"/>
    <n v="466.20000000000005"/>
    <s v="FAMILIAR"/>
    <s v="CARMEM LETICIA G. GOMES ROSA"/>
    <x v="1"/>
    <s v="19/11/2025"/>
    <n v="6681.96"/>
    <n v="1196"/>
    <n v="466.20000000000005"/>
    <n v="729.8"/>
    <m/>
  </r>
  <r>
    <s v="SL000169"/>
    <n v="140"/>
    <n v="4.666666666666667"/>
    <n v="99.9"/>
    <n v="466.20000000000005"/>
    <s v="FAMILIAR"/>
    <s v="KEILA VIEIRA"/>
    <x v="1"/>
    <s v="19/11/2025"/>
    <n v="7581.96"/>
    <n v="1196"/>
    <n v="466.20000000000005"/>
    <n v="729.8"/>
    <m/>
  </r>
  <r>
    <s v="SL000172"/>
    <n v="164"/>
    <n v="5.4666666666666668"/>
    <n v="99.9"/>
    <n v="546.12"/>
    <s v="FAMILIAR"/>
    <s v="MARCELO AUGUSTO LOPES DE RAMOS"/>
    <x v="1"/>
    <s v="26/10/2025"/>
    <n v="7581.96"/>
    <n v="1196"/>
    <n v="546.12"/>
    <n v="649.88"/>
    <m/>
  </r>
  <r>
    <s v="SL000173"/>
    <n v="166"/>
    <n v="5.5333333333333332"/>
    <n v="99.9"/>
    <n v="552.78"/>
    <s v="FAMILIAR"/>
    <s v="ISAQUE GILS DE SOUZA"/>
    <x v="1"/>
    <s v="24/10/2025"/>
    <n v="7581.96"/>
    <n v="1196"/>
    <n v="552.78"/>
    <n v="643.22"/>
    <m/>
  </r>
  <r>
    <s v="SL000174"/>
    <n v="129"/>
    <n v="4.3"/>
    <n v="99.9"/>
    <n v="429.57"/>
    <s v="FAMILIAR"/>
    <s v="MICHAEL LANDIM PIRES"/>
    <x v="1"/>
    <s v="30/11/2025"/>
    <n v="7581.96"/>
    <n v="1196"/>
    <n v="429.57"/>
    <n v="766.43000000000006"/>
    <m/>
  </r>
  <r>
    <s v="SL000175"/>
    <n v="158"/>
    <m/>
    <m/>
    <m/>
    <s v="FAMILIAR"/>
    <s v="PAULO HENRIQUE FELSK"/>
    <x v="0"/>
    <s v="01/11/2025"/>
    <n v="4611.96"/>
    <n v="1196"/>
    <m/>
    <m/>
    <n v="1196"/>
  </r>
  <r>
    <s v="SL000177"/>
    <n v="175"/>
    <n v="5.833333333333333"/>
    <n v="99.9"/>
    <n v="582.75"/>
    <s v="FAMILIAR"/>
    <s v="NILCELENE MARIA DE SOUZA"/>
    <x v="1"/>
    <s v="15/10/2025"/>
    <n v="7581.96"/>
    <n v="1196"/>
    <n v="582.75"/>
    <n v="613.25"/>
    <m/>
  </r>
  <r>
    <s v="SL000178"/>
    <n v="169"/>
    <n v="5.6333333333333337"/>
    <n v="99.9"/>
    <n v="562.7700000000001"/>
    <s v="FAMILIAR"/>
    <s v="ERICA LANA DITTMANN"/>
    <x v="1"/>
    <s v="21/10/2025"/>
    <n v="7581.96"/>
    <n v="1196"/>
    <n v="562.7700000000001"/>
    <n v="633.2299999999999"/>
    <m/>
  </r>
  <r>
    <s v="SL000180"/>
    <n v="165"/>
    <n v="5.5"/>
    <n v="99.9"/>
    <n v="549.45000000000005"/>
    <s v="FAMILIAR"/>
    <s v="WILLIAM CORDEIRO DOS SANTOS "/>
    <x v="1"/>
    <s v="25/10/2025"/>
    <n v="6681.96"/>
    <n v="1196"/>
    <n v="549.45000000000005"/>
    <n v="646.54999999999995"/>
    <m/>
  </r>
  <r>
    <s v="SL000181"/>
    <n v="168"/>
    <n v="5.6"/>
    <n v="99.9"/>
    <n v="559.43999999999994"/>
    <s v="FAMILIAR"/>
    <s v="TATIANA RODRIGUES MEDUNA"/>
    <x v="1"/>
    <s v="22/10/2025"/>
    <n v="6681.96"/>
    <n v="1196"/>
    <n v="559.43999999999994"/>
    <n v="636.56000000000006"/>
    <m/>
  </r>
  <r>
    <s v="SL000182"/>
    <n v="163"/>
    <m/>
    <m/>
    <m/>
    <s v="FAMILIAR"/>
    <s v="CRISTIANO FERREIRA L /JUNIOR"/>
    <x v="0"/>
    <s v="27/10/2025"/>
    <n v="4611.96"/>
    <n v="1196"/>
    <m/>
    <m/>
    <n v="1196"/>
  </r>
  <r>
    <s v="SL000185"/>
    <n v="137"/>
    <n v="4.5666666666666664"/>
    <n v="99.9"/>
    <n v="456.21"/>
    <s v="FAMILIAR"/>
    <s v="RENAN EDUARDO SALGADO"/>
    <x v="1"/>
    <s v="22/11/2025"/>
    <n v="6681.96"/>
    <n v="1196"/>
    <n v="456.21"/>
    <n v="739.79"/>
    <m/>
  </r>
  <r>
    <s v="SL000186"/>
    <n v="134"/>
    <n v="4.4666666666666668"/>
    <n v="99.9"/>
    <n v="446.22"/>
    <s v="FAMILIAR"/>
    <s v="LUCIANE MAIESKI MOREIRA"/>
    <x v="1"/>
    <s v="25/11/2025"/>
    <n v="7581.96"/>
    <n v="1196"/>
    <n v="446.22"/>
    <n v="749.78"/>
    <m/>
  </r>
  <r>
    <s v="SL000194"/>
    <n v="162"/>
    <m/>
    <m/>
    <m/>
    <s v="FAMILIAR"/>
    <s v="RENATO DE SOUZA PINTO"/>
    <x v="0"/>
    <s v="28/10/2025"/>
    <n v="4611.96"/>
    <n v="1196"/>
    <m/>
    <m/>
    <n v="1196"/>
  </r>
  <r>
    <s v="SL000195"/>
    <n v="144"/>
    <n v="4.8"/>
    <n v="99.9"/>
    <n v="479.52"/>
    <s v="FAMILIAR"/>
    <s v="ADALBERTO DA SILVA PARAIBA"/>
    <x v="1"/>
    <s v="15/11/2025"/>
    <n v="6681.96"/>
    <n v="1196"/>
    <n v="479.52"/>
    <n v="716.48"/>
    <m/>
  </r>
  <r>
    <s v="SL000196"/>
    <n v="144"/>
    <n v="4.8"/>
    <n v="99.9"/>
    <n v="479.52"/>
    <s v="FAMILIAR"/>
    <s v="EDUARDO MARAFIGO BORGES"/>
    <x v="1"/>
    <s v="15/11/2025"/>
    <n v="6681.96"/>
    <n v="1196"/>
    <n v="479.52"/>
    <n v="716.48"/>
    <m/>
  </r>
  <r>
    <s v="SL000197"/>
    <n v="144"/>
    <m/>
    <m/>
    <m/>
    <s v="FAMILIAR"/>
    <s v="MONARA GARANITO"/>
    <x v="0"/>
    <s v="15/11/2025"/>
    <n v="4611.96"/>
    <n v="1196"/>
    <m/>
    <m/>
    <n v="1196"/>
  </r>
  <r>
    <s v="SL000199"/>
    <n v="143"/>
    <n v="4.7666666666666666"/>
    <n v="99.9"/>
    <n v="476.19"/>
    <s v="FAMILIAR"/>
    <s v="ANDRE LUIS ALEXANDRE CHRISANTO"/>
    <x v="1"/>
    <s v="16/11/2025"/>
    <n v="6681.96"/>
    <n v="1196"/>
    <n v="476.19"/>
    <n v="719.81"/>
    <m/>
  </r>
  <r>
    <s v="SL000200"/>
    <n v="153"/>
    <m/>
    <m/>
    <m/>
    <s v="FAMILIAR"/>
    <s v="JEFERSON SIVEK"/>
    <x v="0"/>
    <s v="06/11/2025"/>
    <n v="4611.96"/>
    <n v="1196"/>
    <m/>
    <m/>
    <n v="1196"/>
  </r>
  <r>
    <s v="SL000201"/>
    <n v="150"/>
    <n v="5"/>
    <n v="99.9"/>
    <n v="499.5"/>
    <s v="FAMILIAR"/>
    <s v="AMANDA ELISA DIAS "/>
    <x v="1"/>
    <s v="09/11/2025"/>
    <n v="6681.96"/>
    <n v="1196"/>
    <n v="499.5"/>
    <n v="696.5"/>
    <m/>
  </r>
  <r>
    <s v="SL000202"/>
    <n v="149"/>
    <n v="4.9666666666666668"/>
    <n v="99.9"/>
    <n v="496.17"/>
    <s v="FAMILIAR"/>
    <s v="LEANDRO DE LIMA NACISO"/>
    <x v="1"/>
    <s v="10/11/2025"/>
    <n v="6681.96"/>
    <n v="1196"/>
    <n v="496.17"/>
    <n v="699.82999999999993"/>
    <m/>
  </r>
  <r>
    <s v="SL000212"/>
    <n v="158"/>
    <n v="5.2666666666666666"/>
    <n v="99.9"/>
    <n v="526.14"/>
    <s v="FAMILIAR"/>
    <s v="RONI CARLOS AGOSTINHO"/>
    <x v="1"/>
    <s v="01/11/2025"/>
    <n v="6681.96"/>
    <n v="1196"/>
    <n v="526.14"/>
    <n v="669.86"/>
    <m/>
  </r>
  <r>
    <s v="SL000214"/>
    <n v="160"/>
    <m/>
    <m/>
    <m/>
    <s v="FAMILIAR"/>
    <s v="MANUELE CRISTINA VIDAL D/SILVA"/>
    <x v="0"/>
    <s v="30/10/2025"/>
    <n v="4611.96"/>
    <n v="1196"/>
    <m/>
    <m/>
    <n v="1196"/>
  </r>
  <r>
    <s v="SL000223"/>
    <n v="159"/>
    <n v="5.3"/>
    <n v="99.9"/>
    <n v="529.47"/>
    <s v="FAMILIAR"/>
    <s v="MARINES PAIFER MARTINS"/>
    <x v="1"/>
    <s v="31/10/2025"/>
    <n v="6681.96"/>
    <n v="1196"/>
    <n v="529.47"/>
    <n v="666.53"/>
    <m/>
  </r>
  <r>
    <s v="SL000245"/>
    <n v="150"/>
    <m/>
    <m/>
    <m/>
    <s v="FAMILIAR"/>
    <s v="MARCIA REGINA TAVARES CORREIA"/>
    <x v="0"/>
    <s v="09/11/2025"/>
    <n v="4611.96"/>
    <n v="1196"/>
    <m/>
    <m/>
    <n v="1196"/>
  </r>
  <r>
    <s v="SL000246"/>
    <n v="151"/>
    <n v="5.0333333333333332"/>
    <n v="99.9"/>
    <n v="502.83000000000004"/>
    <s v="FAMILIAR"/>
    <s v="HELITON CORDEIRO SALVADOR"/>
    <x v="1"/>
    <s v="08/11/2025"/>
    <n v="7581.96"/>
    <n v="1196"/>
    <n v="502.83000000000004"/>
    <n v="693.17"/>
    <m/>
  </r>
  <r>
    <s v="SL000247"/>
    <n v="151"/>
    <m/>
    <m/>
    <m/>
    <s v="FAMILIAR"/>
    <s v="LAURA MONALISE PASSINI D/OLIV"/>
    <x v="0"/>
    <s v="08/11/2025"/>
    <n v="4611.96"/>
    <n v="1196"/>
    <m/>
    <m/>
    <n v="1196"/>
  </r>
  <r>
    <s v="SL000248"/>
    <n v="138"/>
    <m/>
    <m/>
    <m/>
    <s v="FAMILIAR"/>
    <s v="MARCELA MARTINS NUNES"/>
    <x v="0"/>
    <s v="21/11/2025"/>
    <n v="4611.96"/>
    <n v="1196"/>
    <m/>
    <m/>
    <n v="1196"/>
  </r>
  <r>
    <s v="SL000249"/>
    <n v="138"/>
    <m/>
    <m/>
    <m/>
    <s v="FAMILIAR"/>
    <s v="CRISTIANE F. CARDOSO"/>
    <x v="0"/>
    <s v="21/11/2025"/>
    <n v="4188"/>
    <n v="1196"/>
    <m/>
    <m/>
    <n v="1196"/>
  </r>
  <r>
    <s v="SL000252"/>
    <n v="154"/>
    <m/>
    <m/>
    <m/>
    <s v="FAMILIAR"/>
    <s v="RAFAEL RENATO NOVISK"/>
    <x v="0"/>
    <s v="05/11/2025"/>
    <n v="4611.96"/>
    <n v="1196"/>
    <m/>
    <m/>
    <n v="1196"/>
  </r>
  <r>
    <s v="SL000256"/>
    <n v="149"/>
    <n v="4.9666666666666668"/>
    <n v="99.9"/>
    <n v="496.17"/>
    <s v="FAMILIAR"/>
    <s v="AUDE PEREIRA DA SILVA"/>
    <x v="1"/>
    <s v="10/11/2025"/>
    <n v="6681.96"/>
    <n v="1196"/>
    <n v="496.17"/>
    <n v="699.82999999999993"/>
    <m/>
  </r>
  <r>
    <s v="SL000258"/>
    <n v="138"/>
    <m/>
    <m/>
    <m/>
    <s v="FAMILIAR"/>
    <s v="CLAUDEMIRA CALDEIRA A/CANDIDO"/>
    <x v="0"/>
    <s v="21/11/2025"/>
    <n v="4611.96"/>
    <n v="1196"/>
    <m/>
    <m/>
    <n v="1196"/>
  </r>
  <r>
    <s v="SL000259"/>
    <n v="150"/>
    <m/>
    <m/>
    <m/>
    <s v="FAMILIAR"/>
    <s v="AMILTON DE FREITAS SIQUEIRA"/>
    <x v="0"/>
    <s v="09/11/2025"/>
    <n v="4611.96"/>
    <n v="1196"/>
    <m/>
    <m/>
    <n v="1196"/>
  </r>
  <r>
    <s v="SL000260"/>
    <n v="153"/>
    <n v="5.0999999999999996"/>
    <n v="99.9"/>
    <n v="509.49"/>
    <s v="FAMILIAR"/>
    <s v="EMERSON VENDERLI CEROM"/>
    <x v="1"/>
    <s v="06/11/2025"/>
    <n v="6681.96"/>
    <n v="1196"/>
    <n v="509.49"/>
    <n v="686.51"/>
    <m/>
  </r>
  <r>
    <s v="SL000264"/>
    <n v="120"/>
    <m/>
    <m/>
    <m/>
    <s v="FAMILIAR"/>
    <s v="MARIA ROSANA CARDOSO D/SANTOS"/>
    <x v="0"/>
    <s v="09/12/2025"/>
    <n v="4611.96"/>
    <n v="1196"/>
    <m/>
    <m/>
    <n v="1196"/>
  </r>
  <r>
    <s v="SL000269"/>
    <n v="156"/>
    <n v="5.2"/>
    <n v="99.9"/>
    <n v="519.48"/>
    <s v="FAMILIAR"/>
    <s v="PAULO HENRIQUE SANTOS"/>
    <x v="1"/>
    <s v="03/11/2025"/>
    <n v="6681.96"/>
    <n v="1196"/>
    <n v="519.48"/>
    <n v="676.52"/>
    <m/>
  </r>
  <r>
    <s v="SL000270"/>
    <n v="153"/>
    <m/>
    <m/>
    <m/>
    <s v="FAMILIAR"/>
    <s v="TANIA MARA COSTACURTA"/>
    <x v="0"/>
    <s v="06/11/2025"/>
    <n v="4611.96"/>
    <n v="1196"/>
    <m/>
    <m/>
    <n v="1196"/>
  </r>
  <r>
    <s v="SL000271"/>
    <n v="153"/>
    <n v="5.0999999999999996"/>
    <n v="99.9"/>
    <n v="509.49"/>
    <s v="FAMILIAR"/>
    <s v="OMAR ANTONIO DA LUZ"/>
    <x v="1"/>
    <s v="06/11/2025"/>
    <n v="6681.96"/>
    <n v="1196"/>
    <n v="509.49"/>
    <n v="686.51"/>
    <m/>
  </r>
  <r>
    <s v="SL000272"/>
    <n v="146"/>
    <n v="4.8666666666666663"/>
    <n v="99.9"/>
    <n v="486.18"/>
    <s v="FAMILIAR"/>
    <s v="MARCO ANTONIO DOS S/RESENDE"/>
    <x v="1"/>
    <s v="13/11/2025"/>
    <n v="6681.96"/>
    <n v="1196"/>
    <n v="486.18"/>
    <n v="709.81999999999994"/>
    <m/>
  </r>
  <r>
    <s v="SL000274"/>
    <n v="151"/>
    <m/>
    <m/>
    <m/>
    <s v="FAMILIAR"/>
    <s v="FILIPE RACHID DE O."/>
    <x v="0"/>
    <s v="08/11/2025"/>
    <n v="4611.96"/>
    <n v="1196"/>
    <m/>
    <m/>
    <n v="1196"/>
  </r>
  <r>
    <s v="SL000275"/>
    <n v="151"/>
    <n v="5.0333333333333332"/>
    <n v="99.9"/>
    <n v="502.83000000000004"/>
    <s v="FAMILIAR"/>
    <s v="RUBENS BONIERSKI"/>
    <x v="1"/>
    <s v="08/11/2025"/>
    <n v="6681.96"/>
    <n v="1196"/>
    <n v="502.83000000000004"/>
    <n v="693.17"/>
    <m/>
  </r>
  <r>
    <s v="SL000276"/>
    <n v="152"/>
    <n v="5.0666666666666664"/>
    <n v="99.9"/>
    <n v="506.16"/>
    <s v="FAMILIAR"/>
    <s v="ADRIANE DOS SANTOS SILVA"/>
    <x v="1"/>
    <s v="07/11/2025"/>
    <n v="6681.96"/>
    <n v="1196"/>
    <n v="506.16"/>
    <n v="689.83999999999992"/>
    <m/>
  </r>
  <r>
    <s v="SL000277"/>
    <n v="151"/>
    <n v="5.0333333333333332"/>
    <n v="99.9"/>
    <n v="502.83000000000004"/>
    <s v="FAMILIAR"/>
    <s v="CRISTIANE REGINA C."/>
    <x v="1"/>
    <s v="08/11/2025"/>
    <n v="7881.96"/>
    <n v="1196"/>
    <n v="502.83000000000004"/>
    <n v="693.17"/>
    <m/>
  </r>
  <r>
    <s v="SL000278"/>
    <n v="147"/>
    <m/>
    <m/>
    <m/>
    <s v="FAMILIAR"/>
    <s v="ALESSANDRO LACERDADE ASSIS"/>
    <x v="0"/>
    <s v="12/11/2025"/>
    <n v="4611.96"/>
    <n v="1196"/>
    <m/>
    <m/>
    <n v="1196"/>
  </r>
  <r>
    <s v="SL000279"/>
    <n v="153"/>
    <n v="5.0999999999999996"/>
    <n v="99.9"/>
    <n v="509.49"/>
    <s v="FAMILIAR"/>
    <s v="REGINA APARECIDA TREMARIN"/>
    <x v="1"/>
    <s v="06/11/2025"/>
    <n v="6681.96"/>
    <n v="1196"/>
    <n v="509.49"/>
    <n v="686.51"/>
    <m/>
  </r>
  <r>
    <s v="SL000281"/>
    <n v="150"/>
    <n v="5"/>
    <n v="99.9"/>
    <n v="499.5"/>
    <s v="FAMILIAR"/>
    <s v="LUCIARA GONÇALVES ARAUJO"/>
    <x v="1"/>
    <s v="09/11/2025"/>
    <n v="6681.96"/>
    <n v="1196"/>
    <n v="499.5"/>
    <n v="696.5"/>
    <m/>
  </r>
  <r>
    <s v="SL000282"/>
    <n v="149"/>
    <n v="4.9666666666666668"/>
    <n v="99.9"/>
    <n v="496.17"/>
    <s v="FAMILIAR"/>
    <s v="ALANA FERREIRA FERNANDES"/>
    <x v="1"/>
    <s v="10/11/2025"/>
    <n v="6681.96"/>
    <n v="1196"/>
    <n v="496.17"/>
    <n v="699.82999999999993"/>
    <m/>
  </r>
  <r>
    <s v="SL000283"/>
    <n v="151"/>
    <n v="5.0333333333333332"/>
    <n v="99.9"/>
    <n v="502.83000000000004"/>
    <s v="FAMILIAR"/>
    <s v="MARCO ANTONIO GOÇALVES MATOSO"/>
    <x v="1"/>
    <s v="08/11/2025"/>
    <n v="6681.96"/>
    <n v="1196"/>
    <n v="502.83000000000004"/>
    <n v="693.17"/>
    <m/>
  </r>
  <r>
    <s v="SL000284"/>
    <n v="139"/>
    <n v="4.6333333333333337"/>
    <n v="99.9"/>
    <n v="462.87000000000006"/>
    <s v="FAMILIAR"/>
    <s v="EDINA MARO LEINEKER CAMARGO"/>
    <x v="1"/>
    <s v="20/11/2025"/>
    <n v="6681.96"/>
    <n v="1196"/>
    <n v="462.87000000000006"/>
    <n v="733.12999999999988"/>
    <m/>
  </r>
  <r>
    <s v="SL000288"/>
    <n v="149"/>
    <m/>
    <m/>
    <m/>
    <s v="FAMILIAR"/>
    <s v="JOAO FLAVIS DE PAULA"/>
    <x v="0"/>
    <s v="10/11/2025"/>
    <n v="4188"/>
    <n v="1196"/>
    <m/>
    <m/>
    <n v="1196"/>
  </r>
  <r>
    <s v="SL000289"/>
    <n v="145"/>
    <m/>
    <m/>
    <m/>
    <s v="FAMILIAR"/>
    <s v="MAURICIO CANEGA NETO"/>
    <x v="0"/>
    <s v="14/11/2025"/>
    <n v="4611.96"/>
    <n v="1196"/>
    <m/>
    <m/>
    <n v="1196"/>
  </r>
  <r>
    <s v="SL000290"/>
    <n v="139"/>
    <n v="4.6333333333333337"/>
    <n v="99.9"/>
    <n v="462.87000000000006"/>
    <s v="FAMILIAR"/>
    <s v="TATIANA LETICIA GONÇALVES S/ D"/>
    <x v="1"/>
    <s v="20/11/2025"/>
    <n v="6681.96"/>
    <n v="1196"/>
    <n v="462.87000000000006"/>
    <n v="733.12999999999988"/>
    <m/>
  </r>
  <r>
    <s v="SL000292"/>
    <n v="150"/>
    <n v="5"/>
    <n v="99.9"/>
    <n v="499.5"/>
    <s v="FAMILIAR"/>
    <s v="VICTOR HUGO BATISTA GONÇALVES "/>
    <x v="1"/>
    <s v="09/11/2025"/>
    <n v="6681.96"/>
    <n v="1196"/>
    <n v="499.5"/>
    <n v="696.5"/>
    <m/>
  </r>
  <r>
    <s v="SL000293"/>
    <n v="147"/>
    <m/>
    <m/>
    <m/>
    <s v="FAMILIAR"/>
    <s v="MARIA JOSÉ COLLI DE LIMA "/>
    <x v="0"/>
    <s v="12/11/2025"/>
    <n v="4611.96"/>
    <n v="1196"/>
    <m/>
    <m/>
    <n v="1196"/>
  </r>
  <r>
    <s v="SL000294"/>
    <n v="151"/>
    <n v="5.0333333333333332"/>
    <n v="99.9"/>
    <n v="502.83000000000004"/>
    <s v="FAMILIAR"/>
    <s v="CLEUSA LEMES DE OLIVEIRA"/>
    <x v="1"/>
    <s v="08/11/2025"/>
    <n v="7581.96"/>
    <n v="1196"/>
    <n v="502.83000000000004"/>
    <n v="693.17"/>
    <m/>
  </r>
  <r>
    <s v="SL000295"/>
    <n v="148"/>
    <n v="4.9333333333333336"/>
    <n v="99.9"/>
    <n v="492.84000000000003"/>
    <s v="FAMILIAR"/>
    <s v="SUZI M. R.KULRAK"/>
    <x v="1"/>
    <s v="11/11/2025"/>
    <n v="6681.96"/>
    <n v="1196"/>
    <n v="492.84000000000003"/>
    <n v="703.16"/>
    <m/>
  </r>
  <r>
    <s v="SL000297"/>
    <n v="139"/>
    <n v="4.6333333333333337"/>
    <n v="99.9"/>
    <n v="462.87000000000006"/>
    <s v="FAMILIAR"/>
    <s v="FELLIPE SANTORI DA SILVA"/>
    <x v="1"/>
    <s v="20/11/2025"/>
    <n v="6681.96"/>
    <n v="1196"/>
    <n v="462.87000000000006"/>
    <n v="733.12999999999988"/>
    <m/>
  </r>
  <r>
    <s v="SL000299"/>
    <n v="152"/>
    <n v="5.0666666666666664"/>
    <n v="99.9"/>
    <n v="506.16"/>
    <s v="FAMILIAR"/>
    <s v="VALDECIR DE ANDRADE PEREIRA"/>
    <x v="1"/>
    <s v="07/11/2025"/>
    <n v="6681.96"/>
    <n v="1196"/>
    <n v="506.16"/>
    <n v="689.83999999999992"/>
    <m/>
  </r>
  <r>
    <s v="SL000304"/>
    <n v="142"/>
    <n v="4.7333333333333334"/>
    <n v="99.9"/>
    <n v="472.86"/>
    <s v="FAMILIAR"/>
    <s v="DONIZETE DOS ANJOS O. DA SILVA"/>
    <x v="1"/>
    <s v="17/11/2025"/>
    <n v="6681.96"/>
    <n v="1196"/>
    <n v="472.86"/>
    <n v="723.14"/>
    <m/>
  </r>
  <r>
    <s v="SL000306"/>
    <n v="139"/>
    <n v="4.6333333333333337"/>
    <n v="99.9"/>
    <n v="462.87000000000006"/>
    <s v="FAMILIAR"/>
    <s v="SARAH M. GONÇALVES"/>
    <x v="1"/>
    <s v="20/11/2025"/>
    <n v="6681.96"/>
    <n v="1196"/>
    <n v="462.87000000000006"/>
    <n v="733.12999999999988"/>
    <m/>
  </r>
  <r>
    <s v="SL000307"/>
    <n v="136"/>
    <n v="4.5333333333333332"/>
    <n v="99.9"/>
    <n v="452.88"/>
    <s v="FAMILIAR"/>
    <s v="OSNI ARTURO FRANCISCO JUNIOR"/>
    <x v="1"/>
    <s v="23/11/2025"/>
    <n v="6681.96"/>
    <n v="1196"/>
    <n v="452.88"/>
    <n v="743.12"/>
    <m/>
  </r>
  <r>
    <s v="SL000309"/>
    <n v="143"/>
    <n v="4.7666666666666666"/>
    <n v="99.9"/>
    <n v="476.19"/>
    <s v="FAMILIAR"/>
    <s v="LEANDRO SOUZA DA SILVA"/>
    <x v="1"/>
    <s v="16/11/2025"/>
    <n v="6681.96"/>
    <n v="1196"/>
    <n v="476.19"/>
    <n v="719.81"/>
    <m/>
  </r>
  <r>
    <s v="SL000311"/>
    <n v="129"/>
    <m/>
    <m/>
    <m/>
    <s v="FAMILIAR"/>
    <s v="FELIPE DA SILVA MACHADO"/>
    <x v="0"/>
    <s v="30/11/2025"/>
    <n v="4611.96"/>
    <n v="1196"/>
    <m/>
    <m/>
    <n v="1196"/>
  </r>
  <r>
    <s v="SL000312"/>
    <n v="115"/>
    <n v="3.8333333333333335"/>
    <n v="99.9"/>
    <n v="382.95000000000005"/>
    <s v="FAMILIAR"/>
    <s v="PAULO HENRIQUE DE FRANÇA SILVA"/>
    <x v="1"/>
    <s v="14/12/2025"/>
    <n v="6681.96"/>
    <n v="1196"/>
    <n v="382.95000000000005"/>
    <n v="813.05"/>
    <m/>
  </r>
  <r>
    <s v="SL000313"/>
    <m/>
    <m/>
    <m/>
    <m/>
    <s v="FAMILIAR"/>
    <s v="CAMILA GONSALVES"/>
    <x v="0"/>
    <s v="17/01/2026"/>
    <n v="6681.96"/>
    <n v="1196"/>
    <m/>
    <m/>
    <n v="1196"/>
  </r>
  <r>
    <s v="SL000319"/>
    <n v="115"/>
    <n v="3.8333333333333335"/>
    <n v="99.9"/>
    <n v="382.95000000000005"/>
    <s v="FAMILIAR"/>
    <s v="RAIZZO FERNANDO WINCHE FRANCIS"/>
    <x v="1"/>
    <s v="14/12/2025"/>
    <n v="6681.96"/>
    <n v="1196"/>
    <n v="382.95000000000005"/>
    <n v="813.05"/>
    <m/>
  </r>
  <r>
    <s v="SL000320"/>
    <n v="139"/>
    <n v="4.6333333333333337"/>
    <n v="99.9"/>
    <n v="462.87000000000006"/>
    <s v="FAMILIAR"/>
    <s v="LUIZ FERNANDO DOS SANTOS"/>
    <x v="1"/>
    <s v="20/11/2025"/>
    <n v="4188"/>
    <n v="1196"/>
    <n v="462.87000000000006"/>
    <n v="733.12999999999988"/>
    <m/>
  </r>
  <r>
    <s v="SL000321"/>
    <n v="143"/>
    <n v="4.7666666666666666"/>
    <n v="99.9"/>
    <n v="476.19"/>
    <s v="FAMILIAR"/>
    <s v="ANDRÉ MUNHOZ DOS SANTOS LEAL"/>
    <x v="1"/>
    <s v="16/11/2025"/>
    <n v="6681.96"/>
    <n v="1196"/>
    <n v="476.19"/>
    <n v="719.81"/>
    <m/>
  </r>
  <r>
    <s v="SL000323"/>
    <n v="139"/>
    <n v="4.6333333333333337"/>
    <n v="99.9"/>
    <n v="462.87000000000006"/>
    <s v="FAMILIAR"/>
    <s v="KATIANE DO PILAR DAVIS"/>
    <x v="1"/>
    <s v="20/11/2025"/>
    <n v="6681.96"/>
    <n v="1196"/>
    <n v="462.87000000000006"/>
    <n v="733.12999999999988"/>
    <m/>
  </r>
  <r>
    <s v="SL000326"/>
    <n v="124"/>
    <n v="4.1333333333333337"/>
    <n v="99.9"/>
    <n v="412.92000000000007"/>
    <s v="FAMILIAR"/>
    <s v="GABRIELA APARECIDA P/ DE SOUZA"/>
    <x v="1"/>
    <s v="05/12/2025"/>
    <n v="7581.96"/>
    <n v="1196"/>
    <n v="412.92000000000007"/>
    <n v="783.07999999999993"/>
    <m/>
  </r>
  <r>
    <s v="SL000328"/>
    <n v="129"/>
    <m/>
    <m/>
    <m/>
    <s v="FAMILIAR"/>
    <s v="CAROLINE TANOKO"/>
    <x v="0"/>
    <s v="30/11/2025"/>
    <n v="4611.96"/>
    <n v="1196"/>
    <m/>
    <m/>
    <n v="1196"/>
  </r>
  <r>
    <s v="SL000331"/>
    <n v="122"/>
    <n v="4.0666666666666664"/>
    <n v="99.9"/>
    <n v="406.26"/>
    <s v="FAMILIAR"/>
    <s v="GABRIELLE DE SOUZA MENDES"/>
    <x v="1"/>
    <s v="07/12/2025"/>
    <n v="7581.96"/>
    <n v="1196"/>
    <n v="406.26"/>
    <n v="789.74"/>
    <m/>
  </r>
  <r>
    <s v="SL000332"/>
    <n v="138"/>
    <m/>
    <m/>
    <m/>
    <s v="FAMILIAR"/>
    <s v="JOSUÉ AMORIM JUNIOR"/>
    <x v="0"/>
    <s v="21/11/2025"/>
    <n v="4611.96"/>
    <n v="1196"/>
    <m/>
    <m/>
    <n v="1196"/>
  </r>
  <r>
    <s v="SL000333"/>
    <n v="143"/>
    <n v="4.7666666666666666"/>
    <n v="99.9"/>
    <n v="476.19"/>
    <s v="FAMILIAR"/>
    <s v="RAFHAELA SCHIDT DYBAS"/>
    <x v="1"/>
    <s v="16/11/2025"/>
    <n v="6681.96"/>
    <n v="1196"/>
    <n v="476.19"/>
    <n v="719.81"/>
    <m/>
  </r>
  <r>
    <s v="SL000347"/>
    <n v="138"/>
    <m/>
    <m/>
    <m/>
    <s v="FAMILIAR"/>
    <s v="RIVAEL DOMBROSK"/>
    <x v="0"/>
    <s v="21/11/2025"/>
    <n v="4611.96"/>
    <n v="1196"/>
    <m/>
    <m/>
    <n v="1196"/>
  </r>
  <r>
    <s v="SL000348"/>
    <n v="138"/>
    <m/>
    <m/>
    <m/>
    <s v="FAMILIAR"/>
    <s v="KATHLEEN ANDRESSA FERREIRA"/>
    <x v="0"/>
    <s v="21/11/2025"/>
    <n v="4611.96"/>
    <n v="1196"/>
    <m/>
    <m/>
    <n v="1196"/>
  </r>
  <r>
    <s v="SL000349"/>
    <n v="138"/>
    <m/>
    <m/>
    <m/>
    <s v="FAMILIAR"/>
    <s v="MARCELUS NUEVO MIGUEL"/>
    <x v="0"/>
    <s v="21/11/2025"/>
    <n v="4611.96"/>
    <n v="1196"/>
    <m/>
    <m/>
    <n v="1196"/>
  </r>
  <r>
    <s v="SL000350"/>
    <n v="144"/>
    <n v="4.8"/>
    <n v="99.9"/>
    <n v="479.52"/>
    <s v="FAMILIAR"/>
    <s v="KLEBER RICARDO FLAVINO D/ SILV"/>
    <x v="1"/>
    <s v="15/11/2025"/>
    <n v="6681.96"/>
    <n v="1196"/>
    <n v="479.52"/>
    <n v="716.48"/>
    <m/>
  </r>
  <r>
    <s v="SL000351"/>
    <n v="139"/>
    <m/>
    <m/>
    <m/>
    <s v="FAMILIAR"/>
    <s v="HELISLEI  DE SOUZA"/>
    <x v="0"/>
    <s v="20/11/2025"/>
    <n v="4611.96"/>
    <n v="1196"/>
    <m/>
    <m/>
    <n v="1196"/>
  </r>
  <r>
    <s v="SL000353"/>
    <n v="139"/>
    <m/>
    <m/>
    <m/>
    <s v="FAMILIAR"/>
    <s v="STEFHANY FELIX DOS SANTOS"/>
    <x v="0"/>
    <s v="20/11/2025"/>
    <n v="4611.96"/>
    <n v="1196"/>
    <m/>
    <m/>
    <n v="1196"/>
  </r>
  <r>
    <s v="SL000354"/>
    <n v="143"/>
    <m/>
    <m/>
    <m/>
    <s v="FAMILIAR"/>
    <s v="DENISE CORRÊA DOS SANTOS"/>
    <x v="0"/>
    <s v="16/11/2025"/>
    <n v="4611.96"/>
    <n v="1196"/>
    <m/>
    <m/>
    <n v="1196"/>
  </r>
  <r>
    <s v="SL000360"/>
    <n v="130"/>
    <m/>
    <m/>
    <m/>
    <s v="FAMILIAR"/>
    <s v="LETICIA GABRIELE DA SILVA"/>
    <x v="0"/>
    <s v="29/11/2025"/>
    <n v="4611.96"/>
    <n v="1196"/>
    <m/>
    <m/>
    <n v="1196"/>
  </r>
  <r>
    <s v="SL000362"/>
    <n v="116"/>
    <m/>
    <m/>
    <m/>
    <s v="FAMILIAR"/>
    <s v="IVAN GONÇALVES CORDEIRO"/>
    <x v="0"/>
    <s v="13/12/2025"/>
    <n v="4611.96"/>
    <n v="1196"/>
    <m/>
    <m/>
    <n v="1196"/>
  </r>
  <r>
    <s v="SL000363"/>
    <n v="94"/>
    <n v="3.1333333333333333"/>
    <n v="99.9"/>
    <n v="313.02000000000004"/>
    <s v="FAMILIAR"/>
    <s v="ADRIANI DA SILVA RIBEIRO"/>
    <x v="1"/>
    <s v="04/01/2026"/>
    <n v="7581.96"/>
    <n v="1196"/>
    <n v="313.02000000000004"/>
    <n v="882.98"/>
    <m/>
  </r>
  <r>
    <s v="SL000364"/>
    <n v="130"/>
    <n v="4.333333333333333"/>
    <n v="99.9"/>
    <n v="432.9"/>
    <s v="FAMILIAR"/>
    <s v="ROSANE APARECIDA MAIA GUBER"/>
    <x v="1"/>
    <s v="29/11/2025"/>
    <n v="6681.96"/>
    <n v="1196"/>
    <n v="432.9"/>
    <n v="763.1"/>
    <m/>
  </r>
  <r>
    <s v="SL000368"/>
    <n v="140"/>
    <m/>
    <m/>
    <m/>
    <s v="FAMILIAR"/>
    <s v="ALINE ROBERT DA SILVA"/>
    <x v="0"/>
    <s v="19/11/2025"/>
    <n v="4611.96"/>
    <n v="1196"/>
    <m/>
    <m/>
    <n v="1196"/>
  </r>
  <r>
    <s v="SL000371"/>
    <n v="138"/>
    <n v="4.5999999999999996"/>
    <n v="99.9"/>
    <n v="459.53999999999996"/>
    <s v="FAMILIAR"/>
    <s v="SILVIA SELENTO"/>
    <x v="1"/>
    <s v="21/11/2025"/>
    <n v="7581.96"/>
    <n v="1196"/>
    <n v="459.53999999999996"/>
    <n v="736.46"/>
    <m/>
  </r>
  <r>
    <s v="SL000375"/>
    <n v="115"/>
    <n v="3.8333333333333335"/>
    <n v="99.9"/>
    <n v="382.95000000000005"/>
    <s v="FAMILIAR"/>
    <s v="GUILHERME CUSTODIA BISPO"/>
    <x v="1"/>
    <s v="14/12/2025"/>
    <n v="6681.96"/>
    <n v="1196"/>
    <n v="382.95000000000005"/>
    <n v="813.05"/>
    <m/>
  </r>
  <r>
    <s v="SL000384"/>
    <n v="138"/>
    <n v="4.5999999999999996"/>
    <n v="99.9"/>
    <n v="459.53999999999996"/>
    <s v="FAMILIAR"/>
    <s v="IRINEU BENEDITO DE SÁ"/>
    <x v="1"/>
    <s v="21/11/2025"/>
    <n v="7581.96"/>
    <n v="1196"/>
    <n v="459.53999999999996"/>
    <n v="736.46"/>
    <m/>
  </r>
  <r>
    <s v="SL000385"/>
    <n v="129"/>
    <n v="4.3"/>
    <n v="99.9"/>
    <n v="429.57"/>
    <s v="FAMILIAR"/>
    <s v="JEAN PAULO SANTOS D. SILVA"/>
    <x v="1"/>
    <s v="30/11/2025"/>
    <n v="6681.96"/>
    <n v="1196"/>
    <n v="429.57"/>
    <n v="766.43000000000006"/>
    <m/>
  </r>
  <r>
    <s v="SL000386"/>
    <n v="137"/>
    <n v="4.5666666666666664"/>
    <n v="99.9"/>
    <n v="456.21"/>
    <s v="FAMILIAR"/>
    <s v="ELIANDRO ALBERTO MORAWSKI"/>
    <x v="1"/>
    <s v="22/11/2025"/>
    <n v="7581.96"/>
    <n v="1196"/>
    <n v="456.21"/>
    <n v="739.79"/>
    <m/>
  </r>
  <r>
    <s v="SL000387"/>
    <n v="133"/>
    <n v="4.4333333333333336"/>
    <n v="99.9"/>
    <n v="442.89000000000004"/>
    <s v="FAMILIAR"/>
    <s v="LUIS FERNANDES VIVAS "/>
    <x v="1"/>
    <s v="26/11/2025"/>
    <n v="7581.96"/>
    <n v="1196"/>
    <n v="442.89000000000004"/>
    <n v="753.1099999999999"/>
    <m/>
  </r>
  <r>
    <s v="SL000389"/>
    <n v="130"/>
    <n v="4.333333333333333"/>
    <n v="99.9"/>
    <n v="432.9"/>
    <s v="FAMILIAR"/>
    <s v="EDYMILSON GRANDE"/>
    <x v="1"/>
    <s v="29/11/2025"/>
    <n v="7581.96"/>
    <n v="1196"/>
    <n v="432.9"/>
    <n v="763.1"/>
    <m/>
  </r>
  <r>
    <s v="SL000390"/>
    <n v="135"/>
    <n v="4.5"/>
    <n v="99.9"/>
    <n v="449.55"/>
    <s v="FAMILIAR"/>
    <s v="PATRÍCIA D. S.MACHADO DA SILVA"/>
    <x v="1"/>
    <s v="24/11/2025"/>
    <n v="6681.96"/>
    <n v="1196"/>
    <n v="449.55"/>
    <n v="746.45"/>
    <m/>
  </r>
  <r>
    <s v="SL000397"/>
    <n v="136"/>
    <m/>
    <m/>
    <m/>
    <s v="FAMILIAR"/>
    <s v="RAMIRO LOPES PEREIRA"/>
    <x v="0"/>
    <s v="23/11/2025"/>
    <n v="4611.96"/>
    <n v="1196"/>
    <m/>
    <m/>
    <n v="1196"/>
  </r>
  <r>
    <s v="SL000407"/>
    <n v="140"/>
    <n v="4.666666666666667"/>
    <n v="99.9"/>
    <n v="466.20000000000005"/>
    <s v="FAMILIAR"/>
    <s v="CHRITIANY MATSUMOTO"/>
    <x v="1"/>
    <s v="19/11/2025"/>
    <n v="9082.02"/>
    <n v="1196"/>
    <n v="466.20000000000005"/>
    <n v="729.8"/>
    <m/>
  </r>
  <r>
    <s v="SL000408"/>
    <n v="141"/>
    <m/>
    <m/>
    <m/>
    <s v="FAMILIAR"/>
    <s v="DANIELA SILVA DE SOUZA"/>
    <x v="0"/>
    <s v="18/11/2025"/>
    <n v="4842.54"/>
    <n v="1196"/>
    <m/>
    <m/>
    <n v="1196"/>
  </r>
  <r>
    <s v="SL000409"/>
    <n v="140"/>
    <n v="4.666666666666667"/>
    <n v="99.9"/>
    <n v="466.20000000000005"/>
    <s v="FAMILIAR"/>
    <s v="JOSE ADRIANO DUTRA"/>
    <x v="1"/>
    <s v="19/11/2025"/>
    <n v="6681.96"/>
    <n v="1196"/>
    <n v="466.20000000000005"/>
    <n v="729.8"/>
    <m/>
  </r>
  <r>
    <s v="SL000410"/>
    <n v="131"/>
    <n v="4.3666666666666663"/>
    <n v="99.9"/>
    <n v="436.22999999999996"/>
    <s v="FAMILIAR"/>
    <s v="SARAH SEVERINO MARTINS"/>
    <x v="1"/>
    <s v="28/11/2025"/>
    <n v="7581.96"/>
    <n v="1196"/>
    <n v="436.22999999999996"/>
    <n v="759.77"/>
    <m/>
  </r>
  <r>
    <s v="SL000411"/>
    <n v="129"/>
    <m/>
    <m/>
    <m/>
    <s v="FAMILIAR"/>
    <s v="ELISANGELA MUANDA DA SILVA"/>
    <x v="0"/>
    <s v="30/11/2025"/>
    <n v="4188"/>
    <n v="1196"/>
    <m/>
    <m/>
    <n v="1196"/>
  </r>
  <r>
    <s v="SL000412"/>
    <n v="140"/>
    <m/>
    <m/>
    <m/>
    <s v="FAMILIAR"/>
    <s v="JOSE ALMIRO CARLETTO"/>
    <x v="0"/>
    <s v="19/11/2025"/>
    <n v="4361.96"/>
    <n v="1196"/>
    <m/>
    <m/>
    <n v="1196"/>
  </r>
  <r>
    <s v="SL000413"/>
    <n v="133"/>
    <n v="4.4333333333333336"/>
    <n v="99.9"/>
    <n v="442.89000000000004"/>
    <s v="FAMILIAR"/>
    <s v="MIGUEL SIDNEI GOMES D/ SILVA"/>
    <x v="1"/>
    <s v="26/11/2025"/>
    <n v="6681.96"/>
    <n v="1196"/>
    <n v="442.89000000000004"/>
    <n v="753.1099999999999"/>
    <m/>
  </r>
  <r>
    <s v="SL000414"/>
    <n v="139"/>
    <m/>
    <m/>
    <m/>
    <s v="FAMILIAR"/>
    <s v="PATRICIA GONÇALES"/>
    <x v="0"/>
    <s v="20/11/2025"/>
    <n v="4611.96"/>
    <n v="1196"/>
    <m/>
    <m/>
    <n v="1196"/>
  </r>
  <r>
    <s v="SL000415"/>
    <n v="139"/>
    <n v="4.6333333333333337"/>
    <n v="99.9"/>
    <n v="462.87000000000006"/>
    <s v="FAMILIAR"/>
    <s v="OSNEI ALMEIDA DOS SANTOS"/>
    <x v="1"/>
    <s v="20/11/2025"/>
    <n v="6681.96"/>
    <n v="1196"/>
    <n v="462.87000000000006"/>
    <n v="733.12999999999988"/>
    <m/>
  </r>
  <r>
    <s v="SL000416"/>
    <n v="138"/>
    <m/>
    <m/>
    <m/>
    <s v="FAMILIAR"/>
    <s v="JOSE FERNANDO ROSSA DE CAMARGO"/>
    <x v="0"/>
    <s v="21/11/2025"/>
    <n v="4611.96"/>
    <n v="1196"/>
    <m/>
    <m/>
    <n v="1196"/>
  </r>
  <r>
    <s v="SL000417"/>
    <n v="138"/>
    <m/>
    <m/>
    <m/>
    <s v="FAMILIAR"/>
    <s v="ODAIR MACHADO DA SILVA"/>
    <x v="0"/>
    <s v="21/11/2025"/>
    <n v="4611.96"/>
    <n v="1196"/>
    <m/>
    <m/>
    <n v="1196"/>
  </r>
  <r>
    <s v="SL000418"/>
    <n v="138"/>
    <n v="4.5999999999999996"/>
    <n v="99.9"/>
    <n v="459.53999999999996"/>
    <s v="FAMILIAR"/>
    <s v="LUIZ EDUARDO DOS SANTOS"/>
    <x v="1"/>
    <s v="21/11/2025"/>
    <n v="6681.96"/>
    <n v="1196"/>
    <n v="459.53999999999996"/>
    <n v="736.46"/>
    <m/>
  </r>
  <r>
    <s v="SL000420"/>
    <n v="135"/>
    <m/>
    <m/>
    <m/>
    <s v="FAMILIAR"/>
    <s v="CARLOS CANDIDO DE OLIVEIRA F."/>
    <x v="0"/>
    <s v="24/11/2025"/>
    <n v="4611.96"/>
    <n v="1196"/>
    <m/>
    <m/>
    <n v="1196"/>
  </r>
  <r>
    <s v="SL000421"/>
    <n v="135"/>
    <n v="4.5"/>
    <n v="99.9"/>
    <n v="449.55"/>
    <s v="FAMILIAR"/>
    <s v="JULIO CESAR DOLCE DA SILVA "/>
    <x v="1"/>
    <s v="24/11/2025"/>
    <n v="7581.96"/>
    <n v="1196"/>
    <n v="449.55"/>
    <n v="746.45"/>
    <m/>
  </r>
  <r>
    <s v="SL000423"/>
    <n v="140"/>
    <m/>
    <m/>
    <m/>
    <s v="FAMILIAR"/>
    <s v="MAKOTO OYAMA"/>
    <x v="0"/>
    <s v="19/11/2025"/>
    <n v="4611.96"/>
    <n v="1196"/>
    <m/>
    <m/>
    <n v="1196"/>
  </r>
  <r>
    <s v="SL000424"/>
    <n v="137"/>
    <m/>
    <m/>
    <m/>
    <s v="FAMILIAR"/>
    <s v="JOSIANE DE ARAUJO MOAR"/>
    <x v="0"/>
    <s v="22/11/2025"/>
    <n v="4611.96"/>
    <n v="1196"/>
    <m/>
    <m/>
    <n v="1196"/>
  </r>
  <r>
    <s v="SL000425"/>
    <n v="137"/>
    <m/>
    <m/>
    <m/>
    <s v="FAMILIAR"/>
    <s v="TAMARIS GUARNIERI"/>
    <x v="0"/>
    <s v="22/11/2025"/>
    <n v="4611.96"/>
    <n v="1196"/>
    <m/>
    <m/>
    <n v="1196"/>
  </r>
  <r>
    <s v="SL000428"/>
    <m/>
    <m/>
    <m/>
    <m/>
    <s v="FAMILIAR"/>
    <s v="MOACIR ANTONIO MALAQUIAS JUNIO"/>
    <x v="0"/>
    <s v="29/11/2025"/>
    <n v="6681.96"/>
    <n v="1196"/>
    <m/>
    <m/>
    <n v="1196"/>
  </r>
  <r>
    <s v="SL000429"/>
    <n v="88"/>
    <n v="2.9333333333333331"/>
    <n v="99.9"/>
    <n v="293.04000000000002"/>
    <s v="FAMILIAR"/>
    <s v="ANDERSON DA SILVA"/>
    <x v="1"/>
    <s v="10/01/2026"/>
    <n v="7581.96"/>
    <n v="1196"/>
    <n v="293.04000000000002"/>
    <n v="902.96"/>
    <m/>
  </r>
  <r>
    <s v="SL000430"/>
    <n v="130"/>
    <n v="4.333333333333333"/>
    <n v="99.9"/>
    <n v="432.9"/>
    <s v="FAMILIAR"/>
    <s v="ANGELA DE OLIVEIRA"/>
    <x v="1"/>
    <s v="29/11/2025"/>
    <n v="6681.96"/>
    <n v="1196"/>
    <n v="432.9"/>
    <n v="763.1"/>
    <m/>
  </r>
  <r>
    <s v="SL000431"/>
    <n v="124"/>
    <n v="4.1333333333333337"/>
    <n v="99.9"/>
    <n v="412.92000000000007"/>
    <s v="FAMILIAR"/>
    <s v="MARCELO LUIS SAPORETI LAMI"/>
    <x v="1"/>
    <s v="05/12/2025"/>
    <n v="7581.96"/>
    <n v="1196"/>
    <n v="412.92000000000007"/>
    <n v="783.07999999999993"/>
    <m/>
  </r>
  <r>
    <s v="SL000432"/>
    <n v="129"/>
    <n v="4.3"/>
    <n v="99.9"/>
    <n v="429.57"/>
    <s v="FAMILIAR"/>
    <s v="ANA PAULA DOS SANTOS FRANÇA"/>
    <x v="1"/>
    <s v="30/11/2025"/>
    <n v="6681.96"/>
    <n v="1196"/>
    <n v="429.57"/>
    <n v="766.43000000000006"/>
    <m/>
  </r>
  <r>
    <s v="SL000433"/>
    <n v="125"/>
    <n v="4.166666666666667"/>
    <n v="99.9"/>
    <n v="416.25000000000006"/>
    <s v="FAMILIAR"/>
    <s v="SANDRA REGINA MARTINEZ CAPEL"/>
    <x v="1"/>
    <s v="04/12/2025"/>
    <n v="7581.96"/>
    <n v="1196"/>
    <n v="416.25000000000006"/>
    <n v="779.75"/>
    <m/>
  </r>
  <r>
    <s v="SL000435"/>
    <n v="137"/>
    <n v="4.5666666666666664"/>
    <n v="99.9"/>
    <n v="456.21"/>
    <s v="FAMILIAR"/>
    <s v="EVALDO RICARDO"/>
    <x v="1"/>
    <s v="22/11/2025"/>
    <n v="6681.96"/>
    <n v="1196"/>
    <n v="456.21"/>
    <n v="739.79"/>
    <m/>
  </r>
  <r>
    <s v="SL000437"/>
    <n v="144"/>
    <m/>
    <m/>
    <m/>
    <s v="FAMILIAR"/>
    <s v="VIVIEN DELITSCH F."/>
    <x v="0"/>
    <s v="15/11/2025"/>
    <n v="4188"/>
    <n v="1196"/>
    <m/>
    <m/>
    <n v="1196"/>
  </r>
  <r>
    <s v="SL000438"/>
    <n v="122"/>
    <n v="4.0666666666666664"/>
    <n v="99.9"/>
    <n v="406.26"/>
    <s v="FAMILIAR"/>
    <s v="MAGNO JOSE NASCIMENTO GOMES"/>
    <x v="1"/>
    <s v="07/12/2025"/>
    <n v="6681.96"/>
    <n v="1196"/>
    <n v="406.26"/>
    <n v="789.74"/>
    <m/>
  </r>
  <r>
    <s v="SL000440"/>
    <n v="144"/>
    <n v="4.8"/>
    <n v="99.9"/>
    <n v="479.52"/>
    <s v="FAMILIAR"/>
    <s v="ANDRÉ LEONARDO P. CECHET"/>
    <x v="1"/>
    <s v="15/11/2025"/>
    <n v="6681.96"/>
    <n v="1196"/>
    <n v="479.52"/>
    <n v="716.48"/>
    <m/>
  </r>
  <r>
    <s v="SL000442"/>
    <n v="141"/>
    <m/>
    <m/>
    <m/>
    <s v="FAMILIAR"/>
    <s v="RENAN G CORDEIRO"/>
    <x v="0"/>
    <s v="18/11/2025"/>
    <n v="4188"/>
    <n v="1196"/>
    <m/>
    <m/>
    <n v="1196"/>
  </r>
  <r>
    <s v="SL000450"/>
    <n v="114"/>
    <m/>
    <m/>
    <m/>
    <s v="FAMILIAR"/>
    <s v="REGINALDO MISSAU OSHIKAMA"/>
    <x v="0"/>
    <s v="15/12/2025"/>
    <n v="4842.54"/>
    <n v="1196"/>
    <m/>
    <m/>
    <n v="1196"/>
  </r>
  <r>
    <s v="SL000454"/>
    <n v="116"/>
    <n v="3.8666666666666667"/>
    <n v="99.9"/>
    <n v="386.28000000000003"/>
    <s v="FAMILIAR"/>
    <s v="JESSICA M. FIO VALERIO"/>
    <x v="1"/>
    <s v="13/12/2025"/>
    <n v="9081.9599999999991"/>
    <n v="1196"/>
    <n v="386.28000000000003"/>
    <n v="809.72"/>
    <m/>
  </r>
  <r>
    <s v="SL000455"/>
    <n v="133"/>
    <m/>
    <m/>
    <m/>
    <s v="FAMILIAR"/>
    <s v="RODRIGO GABRIEL BROTTO"/>
    <x v="0"/>
    <s v="26/11/2025"/>
    <n v="4611.96"/>
    <n v="1196"/>
    <m/>
    <m/>
    <n v="1196"/>
  </r>
  <r>
    <s v="SL000456"/>
    <m/>
    <m/>
    <m/>
    <m/>
    <s v="FAMILIAR"/>
    <s v="JOSMAR PEDRO "/>
    <x v="0"/>
    <s v="08/01/2026"/>
    <n v="6681.96"/>
    <n v="1196"/>
    <m/>
    <m/>
    <n v="1196"/>
  </r>
  <r>
    <s v="SL000457"/>
    <n v="129"/>
    <n v="4.3"/>
    <n v="99.9"/>
    <n v="429.57"/>
    <s v="FAMILIAR"/>
    <s v="ADRIANO DIONIZIO"/>
    <x v="1"/>
    <s v="30/11/2025"/>
    <n v="6681.96"/>
    <n v="1196"/>
    <n v="429.57"/>
    <n v="766.43000000000006"/>
    <m/>
  </r>
  <r>
    <s v="SL000458"/>
    <m/>
    <m/>
    <m/>
    <m/>
    <s v="FAMILIAR"/>
    <s v="DAIANE KOROSKI LIMA"/>
    <x v="0"/>
    <s v="24/11/2025"/>
    <n v="4611.96"/>
    <n v="1196"/>
    <m/>
    <m/>
    <n v="1196"/>
  </r>
  <r>
    <s v="SL000459"/>
    <n v="125"/>
    <n v="4.166666666666667"/>
    <n v="99.9"/>
    <n v="416.25000000000006"/>
    <s v="FAMILIAR"/>
    <s v="ANA PAULA B. PEREIRA"/>
    <x v="1"/>
    <s v="04/12/2025"/>
    <n v="6681.96"/>
    <n v="1196"/>
    <n v="416.25000000000006"/>
    <n v="779.75"/>
    <m/>
  </r>
  <r>
    <s v="SL000461"/>
    <n v="83"/>
    <m/>
    <m/>
    <m/>
    <s v="FAMILIAR"/>
    <s v="SALETE PESSATTI"/>
    <x v="0"/>
    <s v="15/01/2026"/>
    <n v="4842.54"/>
    <n v="1196"/>
    <m/>
    <m/>
    <n v="1196"/>
  </r>
  <r>
    <s v="SL000462"/>
    <n v="88"/>
    <m/>
    <m/>
    <m/>
    <s v="FAMILIAR"/>
    <s v="IZABELA TAIARELLA SIQUEIRA ALV"/>
    <x v="0"/>
    <s v="10/01/2026"/>
    <n v="5811.96"/>
    <n v="1196"/>
    <m/>
    <m/>
    <n v="1196"/>
  </r>
  <r>
    <s v="SL000466"/>
    <n v="115"/>
    <n v="3.8333333333333335"/>
    <n v="99.9"/>
    <n v="382.95000000000005"/>
    <s v="FAMILIAR"/>
    <s v="FERNANDO P. DAS NEVES "/>
    <x v="1"/>
    <s v="14/12/2025"/>
    <n v="7581.96"/>
    <n v="1196"/>
    <n v="382.95000000000005"/>
    <n v="813.05"/>
    <m/>
  </r>
  <r>
    <s v="SL000469"/>
    <m/>
    <m/>
    <m/>
    <m/>
    <s v="FAMILIAR"/>
    <s v="ANDERSON ATAIDE DE CAMPOS"/>
    <x v="0"/>
    <s v="01/02/2026"/>
    <n v="6681.96"/>
    <n v="1196"/>
    <m/>
    <m/>
    <n v="1196"/>
  </r>
  <r>
    <s v="SL000472"/>
    <m/>
    <m/>
    <m/>
    <m/>
    <s v="FAMILIAR"/>
    <s v="ROMARIO D/CASTRO ANDREATA NET "/>
    <x v="0"/>
    <s v="16/01/2026"/>
    <n v="6579.99"/>
    <n v="1196"/>
    <m/>
    <m/>
    <n v="1196"/>
  </r>
  <r>
    <s v="SL000476"/>
    <n v="135"/>
    <m/>
    <m/>
    <m/>
    <s v="FAMILIAR"/>
    <s v="JOAO MARCELLO FARIAS DA COSTA"/>
    <x v="0"/>
    <s v="24/11/2025"/>
    <n v="4188"/>
    <n v="1196"/>
    <m/>
    <m/>
    <n v="1196"/>
  </r>
  <r>
    <s v="SL000480"/>
    <n v="129"/>
    <m/>
    <m/>
    <m/>
    <s v="FAMILIAR"/>
    <s v="ANDERSON REGINALDO DE PAULA"/>
    <x v="0"/>
    <s v="30/11/2025"/>
    <n v="4611.96"/>
    <n v="1196"/>
    <m/>
    <m/>
    <n v="1196"/>
  </r>
  <r>
    <s v="SL000482"/>
    <n v="119"/>
    <m/>
    <m/>
    <m/>
    <s v="FAMILIAR"/>
    <s v="ANA PAULA SABINO MENDES"/>
    <x v="0"/>
    <s v="10/12/2025"/>
    <n v="4842.54"/>
    <n v="1196"/>
    <m/>
    <m/>
    <n v="1196"/>
  </r>
  <r>
    <s v="SL000485"/>
    <n v="111"/>
    <n v="3.7"/>
    <n v="99.9"/>
    <n v="369.63000000000005"/>
    <s v="FAMILIAR"/>
    <s v="CARLOS ALEXANDRE MARTINS"/>
    <x v="1"/>
    <s v="18/12/2025"/>
    <n v="6681.96"/>
    <n v="1196"/>
    <n v="369.63000000000005"/>
    <n v="826.36999999999989"/>
    <m/>
  </r>
  <r>
    <s v="SL000486"/>
    <n v="129"/>
    <n v="4.3"/>
    <n v="99.9"/>
    <n v="429.57"/>
    <s v="FAMILIAR"/>
    <s v="CAROLINE SAMPAIO ANDREATA"/>
    <x v="1"/>
    <s v="30/11/2025"/>
    <n v="6681.96"/>
    <n v="1196"/>
    <n v="429.57"/>
    <n v="766.43000000000006"/>
    <m/>
  </r>
  <r>
    <s v="SL000487"/>
    <n v="111"/>
    <n v="3.7"/>
    <n v="99.9"/>
    <n v="369.63000000000005"/>
    <s v="FAMILIAR"/>
    <s v="EMILY PEDROSO BARROS "/>
    <x v="1"/>
    <s v="18/12/2025"/>
    <n v="6681.96"/>
    <n v="1196"/>
    <n v="369.63000000000005"/>
    <n v="826.36999999999989"/>
    <m/>
  </r>
  <r>
    <s v="SL000488"/>
    <n v="88"/>
    <n v="2.9333333333333331"/>
    <n v="99.9"/>
    <n v="293.04000000000002"/>
    <s v="FAMILIAR"/>
    <s v="DIETRICK BASSFELD"/>
    <x v="1"/>
    <s v="10/01/2026"/>
    <n v="7581.96"/>
    <n v="1196"/>
    <n v="293.04000000000002"/>
    <n v="902.96"/>
    <m/>
  </r>
  <r>
    <s v="SL000489"/>
    <n v="106"/>
    <n v="3.5333333333333332"/>
    <n v="99.9"/>
    <n v="352.98"/>
    <s v="FAMILIAR"/>
    <s v="MARCIO JOSE AP/PEREIRA DE OLIV"/>
    <x v="1"/>
    <s v="23/12/2025"/>
    <n v="8781.9599999999991"/>
    <n v="1196"/>
    <n v="352.98"/>
    <n v="843.02"/>
    <m/>
  </r>
  <r>
    <s v="SL000490"/>
    <n v="106"/>
    <n v="3.5333333333333332"/>
    <n v="99.9"/>
    <n v="352.98"/>
    <s v="FAMILIAR"/>
    <s v="MARCELLA BERNARDO ADLER"/>
    <x v="1"/>
    <s v="23/12/2025"/>
    <n v="6681.96"/>
    <n v="1196"/>
    <n v="352.98"/>
    <n v="843.02"/>
    <m/>
  </r>
  <r>
    <s v="SL000491"/>
    <n v="95"/>
    <n v="3.1666666666666665"/>
    <n v="99.9"/>
    <n v="316.35000000000002"/>
    <s v="FAMILIAR"/>
    <s v="SERGIO TOKUNAGA"/>
    <x v="1"/>
    <s v="03/01/2026"/>
    <n v="6681.96"/>
    <n v="1196"/>
    <n v="316.35000000000002"/>
    <n v="879.65"/>
    <m/>
  </r>
  <r>
    <s v="SL000494"/>
    <n v="107"/>
    <m/>
    <m/>
    <m/>
    <s v="FAMILIAR"/>
    <s v="CIBELE AP.DA SILVA DOS REIS S."/>
    <x v="0"/>
    <s v="22/12/2025"/>
    <n v="4611.96"/>
    <n v="1196"/>
    <m/>
    <m/>
    <n v="1196"/>
  </r>
  <r>
    <s v="SL000495"/>
    <n v="116"/>
    <n v="3.8666666666666667"/>
    <n v="99.9"/>
    <n v="386.28000000000003"/>
    <s v="FAMILIAR"/>
    <s v="SERGIO HENRIQUE DA SILVA "/>
    <x v="1"/>
    <s v="13/12/2025"/>
    <n v="7581.96"/>
    <n v="1196"/>
    <n v="386.28000000000003"/>
    <n v="809.72"/>
    <m/>
  </r>
  <r>
    <s v="SL000496"/>
    <n v="155"/>
    <n v="5.166666666666667"/>
    <n v="99.9"/>
    <n v="516.15000000000009"/>
    <s v="FAMILIAR"/>
    <s v="DYORRANES MARLON PIRES"/>
    <x v="1"/>
    <s v="04/11/2025"/>
    <n v="6681.96"/>
    <n v="1196"/>
    <n v="516.15000000000009"/>
    <n v="679.84999999999991"/>
    <m/>
  </r>
  <r>
    <s v="SL000497"/>
    <n v="115"/>
    <m/>
    <m/>
    <m/>
    <s v="FAMILIAR"/>
    <s v="ANDRE LUIS TORRES"/>
    <x v="0"/>
    <s v="14/12/2025"/>
    <n v="4188"/>
    <n v="1196"/>
    <m/>
    <m/>
    <n v="1196"/>
  </r>
  <r>
    <s v="SL000503"/>
    <n v="113"/>
    <n v="3.7666666666666666"/>
    <n v="99.9"/>
    <n v="376.29"/>
    <s v="FAMILIAR"/>
    <s v="FABIO LUIZ DA COSTA FRANSCISCO"/>
    <x v="1"/>
    <s v="16/12/2025"/>
    <n v="6681.96"/>
    <n v="1196"/>
    <n v="376.29"/>
    <n v="819.71"/>
    <m/>
  </r>
  <r>
    <s v="SL000506"/>
    <n v="113"/>
    <n v="3.7666666666666666"/>
    <n v="99.9"/>
    <n v="376.29"/>
    <s v="FAMILIAR"/>
    <s v="LARISSA DO R.LOPES MARQUES"/>
    <x v="1"/>
    <s v="16/12/2025"/>
    <n v="6681.96"/>
    <n v="1196"/>
    <n v="376.29"/>
    <n v="819.71"/>
    <m/>
  </r>
  <r>
    <s v="SL000507"/>
    <n v="115"/>
    <m/>
    <m/>
    <m/>
    <s v="FAMILIAR"/>
    <s v="EMERSON DE ARCEGA"/>
    <x v="0"/>
    <s v="14/12/2025"/>
    <n v="4611.96"/>
    <n v="1196"/>
    <m/>
    <m/>
    <n v="1196"/>
  </r>
  <r>
    <s v="SL000512"/>
    <n v="95"/>
    <m/>
    <m/>
    <m/>
    <s v="FAMILIAR"/>
    <s v="SILMAR BARBOSA"/>
    <x v="0"/>
    <s v="03/01/2026"/>
    <n v="4188"/>
    <n v="1196"/>
    <m/>
    <m/>
    <n v="1196"/>
  </r>
  <r>
    <s v="SL000513"/>
    <m/>
    <m/>
    <m/>
    <m/>
    <s v="FAMILIAR"/>
    <s v="MEURIELENA ROBERTA BEKON PAULA"/>
    <x v="0"/>
    <s v="26/01/2026"/>
    <n v="6681.96"/>
    <n v="1196"/>
    <m/>
    <m/>
    <n v="1196"/>
  </r>
  <r>
    <s v="SL000514"/>
    <m/>
    <m/>
    <m/>
    <m/>
    <s v="FAMILIAR"/>
    <s v="LOUISE BONZATO DOS SANTOS MART"/>
    <x v="0"/>
    <s v="28/12/2025"/>
    <n v="6681.96"/>
    <n v="1196"/>
    <m/>
    <m/>
    <n v="1196"/>
  </r>
  <r>
    <s v="SL000517"/>
    <m/>
    <m/>
    <m/>
    <m/>
    <s v="FAMILIAR"/>
    <s v="HELISON DE LIMOS REZENDE "/>
    <x v="0"/>
    <s v="27/12/2025"/>
    <n v="6681.96"/>
    <n v="1196"/>
    <m/>
    <m/>
    <n v="1196"/>
  </r>
  <r>
    <s v="SL000522"/>
    <n v="109"/>
    <m/>
    <m/>
    <m/>
    <s v="FAMILIAR"/>
    <s v="JUNDIMAR ORLONDELI GORCEZ"/>
    <x v="0"/>
    <s v="20/12/2025"/>
    <n v="4611.96"/>
    <n v="1196"/>
    <m/>
    <m/>
    <n v="1196"/>
  </r>
  <r>
    <s v="SL000523"/>
    <n v="96"/>
    <m/>
    <m/>
    <m/>
    <s v="FAMILIAR"/>
    <s v="MARCOS FERREIRA DE ALMEIDA"/>
    <x v="0"/>
    <s v="02/01/2026"/>
    <n v="4611.96"/>
    <n v="1196"/>
    <m/>
    <m/>
    <n v="1196"/>
  </r>
  <r>
    <s v="SL000524"/>
    <n v="131"/>
    <m/>
    <m/>
    <m/>
    <s v="FAMILIAR"/>
    <s v="RODRIGO ARAUJO "/>
    <x v="0"/>
    <s v="28/11/2025"/>
    <n v="4611.96"/>
    <n v="1196"/>
    <m/>
    <m/>
    <n v="1196"/>
  </r>
  <r>
    <s v="SL000528"/>
    <n v="109"/>
    <n v="3.6333333333333333"/>
    <n v="99.9"/>
    <n v="362.97"/>
    <s v="FAMILIAR"/>
    <s v="IZABELE GONÇALVES LUZ"/>
    <x v="1"/>
    <s v="20/12/2025"/>
    <n v="6681.96"/>
    <n v="1196"/>
    <n v="362.97"/>
    <n v="833.03"/>
    <m/>
  </r>
  <r>
    <s v="SL000530"/>
    <n v="105"/>
    <n v="3.5"/>
    <n v="99.9"/>
    <n v="349.65000000000003"/>
    <s v="FAMILIAR"/>
    <s v="VERIDIANA CASTRO CARDOSO"/>
    <x v="1"/>
    <s v="24/12/2025"/>
    <n v="6681.96"/>
    <n v="1196"/>
    <n v="349.65000000000003"/>
    <n v="846.34999999999991"/>
    <m/>
  </r>
  <r>
    <s v="SL000531"/>
    <n v="103"/>
    <n v="3.4333333333333331"/>
    <n v="99.9"/>
    <n v="342.99"/>
    <s v="FAMILIAR"/>
    <s v="CRISTIAN NUNES BERNARDES"/>
    <x v="1"/>
    <s v="26/12/2025"/>
    <n v="6681.96"/>
    <n v="1196"/>
    <n v="342.99"/>
    <n v="853.01"/>
    <m/>
  </r>
  <r>
    <s v="SL000534"/>
    <m/>
    <m/>
    <m/>
    <m/>
    <s v="FAMILIAR"/>
    <s v="FERNANDA CRISTINA A. GONÇALVES"/>
    <x v="0"/>
    <s v="27/12/2025"/>
    <n v="11481.9"/>
    <n v="1196"/>
    <m/>
    <m/>
    <n v="1196"/>
  </r>
  <r>
    <s v="SL000536"/>
    <n v="95"/>
    <n v="3.1666666666666665"/>
    <n v="99.9"/>
    <n v="316.35000000000002"/>
    <s v="FAMILIAR"/>
    <s v="WILLIAN PACHECO DOS SANTOS P."/>
    <x v="1"/>
    <s v="03/01/2026"/>
    <n v="6681.96"/>
    <n v="1196"/>
    <n v="316.35000000000002"/>
    <n v="879.65"/>
    <m/>
  </r>
  <r>
    <s v="SL000539"/>
    <m/>
    <m/>
    <m/>
    <m/>
    <s v="FAMILIAR"/>
    <s v="JULIANA DE SOUZA SILVA"/>
    <x v="0"/>
    <s v="14/01/2026"/>
    <n v="6681.96"/>
    <n v="1196"/>
    <m/>
    <m/>
    <n v="1196"/>
  </r>
  <r>
    <s v="SL000545"/>
    <n v="88"/>
    <m/>
    <m/>
    <m/>
    <s v="FAMILIAR"/>
    <s v="VIVIANE PEREIRA NASER"/>
    <x v="0"/>
    <s v="10/01/2026"/>
    <n v="4611.96"/>
    <n v="1196"/>
    <m/>
    <m/>
    <n v="1196"/>
  </r>
  <r>
    <s v="SL000548"/>
    <n v="85"/>
    <m/>
    <m/>
    <m/>
    <s v="FAMILIAR"/>
    <s v="ARTUR ROZIN"/>
    <x v="0"/>
    <s v="13/01/2026"/>
    <n v="4842.54"/>
    <n v="1196"/>
    <m/>
    <m/>
    <n v="1196"/>
  </r>
  <r>
    <s v="SL000549"/>
    <m/>
    <m/>
    <m/>
    <m/>
    <s v="FAMILIAR"/>
    <s v="ANA PAULA FERNANDES MALU"/>
    <x v="0"/>
    <s v="07/01/2026"/>
    <n v="6681.96"/>
    <n v="1196"/>
    <m/>
    <m/>
    <n v="1196"/>
  </r>
  <r>
    <s v="SL000553"/>
    <n v="130"/>
    <n v="4.333333333333333"/>
    <n v="99.9"/>
    <n v="432.9"/>
    <s v="FAMILIAR"/>
    <s v="PAULO ANDRE BASTOS DA SILVA"/>
    <x v="1"/>
    <s v="29/11/2025"/>
    <n v="6681.96"/>
    <n v="1196"/>
    <n v="432.9"/>
    <n v="763.1"/>
    <m/>
  </r>
  <r>
    <s v="SL000554"/>
    <n v="130"/>
    <n v="4.333333333333333"/>
    <n v="99.9"/>
    <n v="432.9"/>
    <s v="FAMILIAR"/>
    <s v="DIOGENES GOMES VEIGA"/>
    <x v="1"/>
    <s v="29/11/2025"/>
    <n v="6681.96"/>
    <n v="1196"/>
    <n v="432.9"/>
    <n v="763.1"/>
    <m/>
  </r>
  <r>
    <s v="SL000555"/>
    <n v="129"/>
    <n v="4.3"/>
    <n v="99.9"/>
    <n v="429.57"/>
    <s v="FAMILIAR"/>
    <s v="MOISES MARCONDES OLIVEIRA"/>
    <x v="1"/>
    <s v="30/11/2025"/>
    <n v="7581.96"/>
    <n v="1196"/>
    <n v="429.57"/>
    <n v="766.43000000000006"/>
    <m/>
  </r>
  <r>
    <s v="SL000556"/>
    <n v="130"/>
    <n v="4.333333333333333"/>
    <n v="99.9"/>
    <n v="432.9"/>
    <s v="FAMILIAR"/>
    <s v="NATAN MARQUES"/>
    <x v="1"/>
    <s v="29/11/2025"/>
    <n v="6681.96"/>
    <n v="1196"/>
    <n v="432.9"/>
    <n v="763.1"/>
    <m/>
  </r>
  <r>
    <s v="SL000558"/>
    <n v="129"/>
    <n v="4.3"/>
    <n v="99.9"/>
    <n v="429.57"/>
    <s v="FAMILIAR"/>
    <s v="CARLOS HENRIQUE DA SILVA"/>
    <x v="1"/>
    <s v="30/11/2025"/>
    <n v="6681.96"/>
    <n v="1196"/>
    <n v="429.57"/>
    <n v="766.43000000000006"/>
    <m/>
  </r>
  <r>
    <s v="SL000559"/>
    <n v="129"/>
    <n v="4.3"/>
    <n v="99.9"/>
    <n v="429.57"/>
    <s v="FAMILIAR"/>
    <s v="REGIS MACHADO DA SILVEIRA "/>
    <x v="1"/>
    <s v="30/11/2025"/>
    <n v="7581.96"/>
    <n v="1196"/>
    <n v="429.57"/>
    <n v="766.43000000000006"/>
    <m/>
  </r>
  <r>
    <s v="SL000561"/>
    <n v="111"/>
    <m/>
    <m/>
    <m/>
    <s v="FAMILIAR"/>
    <s v="LUCIANO FERREIRA DE OLIVEIRA"/>
    <x v="0"/>
    <s v="18/12/2025"/>
    <n v="4188"/>
    <n v="1196"/>
    <m/>
    <m/>
    <n v="1196"/>
  </r>
  <r>
    <s v="SL000564"/>
    <n v="129"/>
    <m/>
    <m/>
    <m/>
    <s v="FAMILIAR"/>
    <s v="GLORIA NOEMI DA SILVA"/>
    <x v="0"/>
    <s v="30/11/2025"/>
    <n v="4611.96"/>
    <n v="1196"/>
    <m/>
    <m/>
    <n v="1196"/>
  </r>
  <r>
    <s v="SL000568"/>
    <n v="117"/>
    <m/>
    <m/>
    <m/>
    <s v="FAMILIAR"/>
    <s v="IVANILDE TAVARES"/>
    <x v="0"/>
    <s v="12/12/2025"/>
    <n v="4611.96"/>
    <n v="1196"/>
    <m/>
    <m/>
    <n v="1196"/>
  </r>
  <r>
    <s v="SL000569"/>
    <n v="127"/>
    <n v="4.2333333333333334"/>
    <n v="99.9"/>
    <n v="422.91"/>
    <s v="FAMILIAR"/>
    <s v="ANA CAROLINA D/FREITAS D/MOR"/>
    <x v="1"/>
    <s v="02/12/2025"/>
    <n v="6681.96"/>
    <n v="1196"/>
    <n v="422.91"/>
    <n v="773.08999999999992"/>
    <m/>
  </r>
  <r>
    <s v="SL000570"/>
    <m/>
    <m/>
    <m/>
    <m/>
    <s v="FAMILIAR"/>
    <s v="ERIK FABIAN QUITERO GARCIA"/>
    <x v="0"/>
    <s v="07/12/2025"/>
    <n v="4188"/>
    <n v="1196"/>
    <m/>
    <m/>
    <n v="1196"/>
  </r>
  <r>
    <s v="SL000575"/>
    <n v="116"/>
    <n v="3.8666666666666667"/>
    <n v="99.9"/>
    <n v="386.28000000000003"/>
    <s v="FAMILIAR"/>
    <s v="PATRÍCIA DE OLIVEIRA"/>
    <x v="1"/>
    <s v="13/12/2025"/>
    <n v="6681.96"/>
    <n v="1196"/>
    <n v="386.28000000000003"/>
    <n v="809.72"/>
    <m/>
  </r>
  <r>
    <s v="SL000576"/>
    <n v="140"/>
    <n v="4.666666666666667"/>
    <n v="99.9"/>
    <n v="466.20000000000005"/>
    <s v="FAMILIAR"/>
    <s v="MAYLINI CAVALLI"/>
    <x v="1"/>
    <s v="19/11/2025"/>
    <n v="6000"/>
    <n v="1196"/>
    <n v="466.20000000000005"/>
    <n v="729.8"/>
    <m/>
  </r>
  <r>
    <s v="SL000577"/>
    <n v="124"/>
    <n v="4.1333333333333337"/>
    <n v="99.9"/>
    <n v="412.92000000000007"/>
    <s v="FAMILIAR"/>
    <s v="CASSIANE   ROUSIS DE LARA"/>
    <x v="1"/>
    <s v="05/12/2025"/>
    <n v="9082.02"/>
    <n v="1196"/>
    <n v="412.92000000000007"/>
    <n v="783.07999999999993"/>
    <m/>
  </r>
  <r>
    <s v="SL000579"/>
    <n v="94"/>
    <n v="3.1333333333333333"/>
    <n v="99.9"/>
    <n v="313.02000000000004"/>
    <s v="FAMILIAR"/>
    <s v="ELLBERT WAGNER DE ANDRADE D R."/>
    <x v="1"/>
    <s v="04/01/2026"/>
    <n v="6681.96"/>
    <n v="1196"/>
    <n v="313.02000000000004"/>
    <n v="882.98"/>
    <m/>
  </r>
  <r>
    <s v="SL000580"/>
    <n v="100"/>
    <n v="3.3333333333333335"/>
    <n v="99.9"/>
    <n v="333.00000000000006"/>
    <s v="FAMILIAR"/>
    <s v="RAQUEL VALÉRIO DE ALMEIDA"/>
    <x v="1"/>
    <s v="29/12/2025"/>
    <n v="7581.96"/>
    <n v="1196"/>
    <n v="333.00000000000006"/>
    <n v="863"/>
    <m/>
  </r>
  <r>
    <s v="SL000581"/>
    <n v="107"/>
    <n v="3.5666666666666669"/>
    <n v="99.9"/>
    <n v="356.31000000000006"/>
    <s v="FAMILIAR"/>
    <s v="MATHEUS BORBA DOS SANTOS"/>
    <x v="1"/>
    <s v="22/12/2025"/>
    <n v="7581.96"/>
    <n v="1196"/>
    <n v="356.31000000000006"/>
    <n v="839.68999999999994"/>
    <m/>
  </r>
  <r>
    <s v="SL000582"/>
    <n v="119"/>
    <m/>
    <m/>
    <m/>
    <s v="FAMILIAR"/>
    <s v="ANDREIA DE JESUS ALMEIDA B."/>
    <x v="0"/>
    <s v="10/12/2025"/>
    <n v="4188"/>
    <n v="1196"/>
    <m/>
    <m/>
    <n v="1196"/>
  </r>
  <r>
    <s v="SL000583"/>
    <n v="128"/>
    <n v="4.2666666666666666"/>
    <n v="99.9"/>
    <n v="426.24"/>
    <s v="FAMILIAR"/>
    <s v="CLEITON MARCIO CLAUDINO"/>
    <x v="1"/>
    <s v="01/12/2025"/>
    <n v="7581.96"/>
    <n v="1196"/>
    <n v="426.24"/>
    <n v="769.76"/>
    <m/>
  </r>
  <r>
    <s v="SL000584"/>
    <n v="114"/>
    <n v="3.8"/>
    <n v="99.9"/>
    <n v="379.62"/>
    <s v="FAMILIAR"/>
    <s v="LORENA S.TEODORO"/>
    <x v="1"/>
    <s v="15/12/2025"/>
    <n v="7581.96"/>
    <n v="1196"/>
    <n v="379.62"/>
    <n v="816.38"/>
    <m/>
  </r>
  <r>
    <s v="SL000585"/>
    <n v="115"/>
    <n v="3.8333333333333335"/>
    <n v="99.9"/>
    <n v="382.95000000000005"/>
    <s v="FAMILIAR"/>
    <s v="JUAN ANTONIO MAUTECI"/>
    <x v="1"/>
    <s v="14/12/2025"/>
    <n v="6681.96"/>
    <n v="1196"/>
    <n v="382.95000000000005"/>
    <n v="813.05"/>
    <m/>
  </r>
  <r>
    <s v="SL000586"/>
    <n v="108"/>
    <n v="3.6"/>
    <n v="99.9"/>
    <n v="359.64000000000004"/>
    <s v="FAMILIAR"/>
    <s v="LUANA DE PAULA "/>
    <x v="1"/>
    <s v="21/12/2025"/>
    <n v="6681.96"/>
    <n v="1196"/>
    <n v="359.64000000000004"/>
    <n v="836.3599999999999"/>
    <m/>
  </r>
  <r>
    <s v="SL000589"/>
    <n v="121"/>
    <n v="4.0333333333333332"/>
    <n v="99.9"/>
    <n v="402.93"/>
    <s v="FAMILIAR"/>
    <s v="CLAUDEIR SCHON"/>
    <x v="1"/>
    <s v="08/12/2025"/>
    <n v="6681.96"/>
    <n v="1196"/>
    <n v="402.93"/>
    <n v="793.06999999999994"/>
    <m/>
  </r>
  <r>
    <s v="SL000590"/>
    <n v="121"/>
    <n v="4.0333333333333332"/>
    <n v="99.9"/>
    <n v="402.93"/>
    <s v="FAMILIAR"/>
    <s v="ELISANGELA MARQUES DA SILVA"/>
    <x v="1"/>
    <s v="08/12/2025"/>
    <n v="9982.02"/>
    <n v="1196"/>
    <n v="402.93"/>
    <n v="793.06999999999994"/>
    <m/>
  </r>
  <r>
    <s v="SL000593"/>
    <n v="106"/>
    <n v="3.5333333333333332"/>
    <n v="99.9"/>
    <n v="352.98"/>
    <s v="FAMILIAR"/>
    <s v="LILIANE EMILIA DIAS M. PACHECO"/>
    <x v="1"/>
    <s v="23/12/2025"/>
    <n v="6681.96"/>
    <n v="1196"/>
    <n v="352.98"/>
    <n v="843.02"/>
    <m/>
  </r>
  <r>
    <s v="SL000594"/>
    <n v="113"/>
    <n v="3.7666666666666666"/>
    <n v="99.9"/>
    <n v="376.29"/>
    <s v="FAMILIAR"/>
    <s v="BRUNA DAYANE AGOSTINETI"/>
    <x v="1"/>
    <s v="16/12/2025"/>
    <n v="7581.96"/>
    <n v="1196"/>
    <n v="376.29"/>
    <n v="819.71"/>
    <m/>
  </r>
  <r>
    <s v="SL000595"/>
    <n v="121"/>
    <n v="4.0333333333333332"/>
    <n v="99.9"/>
    <n v="402.93"/>
    <s v="FAMILIAR"/>
    <s v="KLEBER ROGERIO D/OLIVEIRA SILV"/>
    <x v="1"/>
    <s v="08/12/2025"/>
    <n v="7581.96"/>
    <n v="1196"/>
    <n v="402.93"/>
    <n v="793.06999999999994"/>
    <m/>
  </r>
  <r>
    <s v="SL000597"/>
    <n v="110"/>
    <n v="3.6666666666666665"/>
    <n v="99.9"/>
    <n v="366.3"/>
    <s v="FAMILIAR"/>
    <s v="WILLIAN N. GONÇALVES BARROZO"/>
    <x v="1"/>
    <s v="19/12/2025"/>
    <n v="6681.96"/>
    <n v="1196"/>
    <n v="366.3"/>
    <n v="829.7"/>
    <m/>
  </r>
  <r>
    <s v="SL000605"/>
    <n v="105"/>
    <m/>
    <m/>
    <m/>
    <s v="FAMILIAR"/>
    <s v="ROBISNEI ALVES DE SOUSA"/>
    <x v="0"/>
    <s v="24/12/2025"/>
    <n v="4842.54"/>
    <n v="1196"/>
    <m/>
    <m/>
    <n v="1196"/>
  </r>
  <r>
    <s v="SL000607"/>
    <n v="139"/>
    <n v="4.6333333333333337"/>
    <n v="99.9"/>
    <n v="462.87000000000006"/>
    <s v="FAMILIAR"/>
    <s v="ANDRE LUIS DA COSTA PEREIRA"/>
    <x v="1"/>
    <s v="20/11/2025"/>
    <n v="7581.96"/>
    <n v="1196"/>
    <n v="462.87000000000006"/>
    <n v="733.12999999999988"/>
    <m/>
  </r>
  <r>
    <s v="SL000609"/>
    <n v="110"/>
    <m/>
    <m/>
    <m/>
    <s v="FAMILIAR"/>
    <s v="MARCIO DE SOUZA SILVA CHAVINSK"/>
    <x v="0"/>
    <s v="19/12/2025"/>
    <n v="4842.54"/>
    <n v="1196"/>
    <m/>
    <m/>
    <n v="1196"/>
  </r>
  <r>
    <s v="SL000615"/>
    <n v="108"/>
    <m/>
    <m/>
    <m/>
    <s v="FAMILIAR"/>
    <s v="JEANN CARLO BRUNKHORST"/>
    <x v="0"/>
    <s v="21/12/2025"/>
    <n v="5811.96"/>
    <n v="1196"/>
    <m/>
    <m/>
    <n v="1196"/>
  </r>
  <r>
    <s v="SL000620"/>
    <n v="103"/>
    <m/>
    <m/>
    <m/>
    <s v="FAMILIAR"/>
    <s v="DANIELE TRINDADE DOS SANTOS"/>
    <x v="0"/>
    <s v="26/12/2025"/>
    <n v="4611.96"/>
    <n v="1196"/>
    <m/>
    <m/>
    <n v="1196"/>
  </r>
  <r>
    <s v="SL000621"/>
    <n v="102"/>
    <m/>
    <m/>
    <m/>
    <s v="FAMILIAR"/>
    <s v="WELLINGTON MENDES PALHAO"/>
    <x v="0"/>
    <s v="27/12/2025"/>
    <n v="4611.96"/>
    <n v="1196"/>
    <m/>
    <m/>
    <n v="1196"/>
  </r>
  <r>
    <s v="SL000622"/>
    <n v="100"/>
    <n v="3.3333333333333335"/>
    <n v="99.9"/>
    <n v="333.00000000000006"/>
    <s v="FAMILIAR"/>
    <s v="FLAVIA B. PEREIRA "/>
    <x v="1"/>
    <s v="29/12/2025"/>
    <n v="7581.96"/>
    <n v="1196"/>
    <n v="333.00000000000006"/>
    <n v="863"/>
    <m/>
  </r>
  <r>
    <s v="SL000623"/>
    <n v="101"/>
    <m/>
    <m/>
    <m/>
    <s v="FAMILIAR"/>
    <s v="FRANCISCO MARCONDES DE LIMA NE"/>
    <x v="0"/>
    <s v="28/12/2025"/>
    <n v="4611.96"/>
    <n v="1196"/>
    <m/>
    <m/>
    <n v="1196"/>
  </r>
  <r>
    <s v="SL000624"/>
    <n v="87"/>
    <m/>
    <m/>
    <m/>
    <s v="FAMILIAR"/>
    <s v="INÊS  ALZAWA  NUNES"/>
    <x v="0"/>
    <s v="11/01/2026"/>
    <n v="4188"/>
    <n v="1196"/>
    <m/>
    <m/>
    <n v="1196"/>
  </r>
  <r>
    <s v="SL000625"/>
    <m/>
    <m/>
    <m/>
    <m/>
    <s v="FAMILIAR"/>
    <s v="YAACOV BEN YEHUDAH ALVES BOCCI"/>
    <x v="0"/>
    <s v="13/01/2026"/>
    <n v="4188"/>
    <n v="1196"/>
    <m/>
    <m/>
    <n v="1196"/>
  </r>
  <r>
    <s v="SL000626"/>
    <n v="88"/>
    <m/>
    <m/>
    <m/>
    <s v="FAMILIAR"/>
    <s v="GESONITA ALMEIDA SILVEIRA COST"/>
    <x v="0"/>
    <s v="10/01/2026"/>
    <n v="4188"/>
    <n v="1196"/>
    <m/>
    <m/>
    <n v="1196"/>
  </r>
  <r>
    <s v="SL000629"/>
    <n v="102"/>
    <m/>
    <m/>
    <m/>
    <s v="FAMILIAR"/>
    <s v="ALEX BALTAZAR PEREIRA "/>
    <x v="0"/>
    <s v="27/12/2025"/>
    <n v="4842.54"/>
    <n v="1196"/>
    <m/>
    <m/>
    <n v="1196"/>
  </r>
  <r>
    <s v="SL000631"/>
    <n v="122"/>
    <m/>
    <m/>
    <m/>
    <s v="FAMILIAR"/>
    <s v="LEONILDO DOS REIS"/>
    <x v="0"/>
    <s v="07/12/2025"/>
    <n v="5811.96"/>
    <n v="1196"/>
    <m/>
    <m/>
    <n v="1196"/>
  </r>
  <r>
    <s v="SL000632"/>
    <n v="122"/>
    <n v="4.0666666666666664"/>
    <n v="99.9"/>
    <n v="406.26"/>
    <s v="FAMILIAR"/>
    <s v="ROBERTO PIRES DE FRANÇA"/>
    <x v="1"/>
    <s v="07/12/2025"/>
    <n v="6681.96"/>
    <n v="1196"/>
    <n v="406.26"/>
    <n v="789.74"/>
    <m/>
  </r>
  <r>
    <s v="SL000636"/>
    <n v="95"/>
    <m/>
    <m/>
    <m/>
    <s v="FAMILIAR"/>
    <s v="ISABELLA BARLOSA "/>
    <x v="0"/>
    <s v="03/01/2026"/>
    <n v="4612.0200000000004"/>
    <n v="1196"/>
    <m/>
    <m/>
    <n v="1196"/>
  </r>
  <r>
    <s v="SL000637"/>
    <n v="91"/>
    <n v="3.0333333333333332"/>
    <n v="99.9"/>
    <n v="303.03000000000003"/>
    <s v="FAMILIAR"/>
    <s v="VIVIANE DIAS GONÇALVES"/>
    <x v="1"/>
    <s v="07/01/2026"/>
    <n v="6681.96"/>
    <n v="1196"/>
    <n v="303.03000000000003"/>
    <n v="892.97"/>
    <m/>
  </r>
  <r>
    <s v="SL000638"/>
    <m/>
    <m/>
    <m/>
    <m/>
    <s v="FAMILIAR"/>
    <s v="WILLIAN CABRAL BERNARDO"/>
    <x v="0"/>
    <s v="28/12/2025"/>
    <n v="4187.9799999999996"/>
    <n v="1196"/>
    <m/>
    <m/>
    <n v="1196"/>
  </r>
  <r>
    <s v="SL000640"/>
    <n v="106"/>
    <m/>
    <m/>
    <m/>
    <s v="FAMILIAR"/>
    <s v="DANIEL AUGUSTO SILVO"/>
    <x v="0"/>
    <s v="23/12/2025"/>
    <n v="4188"/>
    <n v="1196"/>
    <m/>
    <m/>
    <n v="1196"/>
  </r>
  <r>
    <s v="SL000641"/>
    <n v="96"/>
    <m/>
    <m/>
    <m/>
    <s v="FAMILIAR"/>
    <s v="MARCOS WELLINGTON DA SILVA "/>
    <x v="0"/>
    <s v="02/01/2026"/>
    <n v="4188"/>
    <n v="1196"/>
    <m/>
    <m/>
    <n v="1196"/>
  </r>
  <r>
    <s v="SL000642"/>
    <m/>
    <m/>
    <m/>
    <m/>
    <s v="FAMILIAR"/>
    <s v="JAYCE KELLY ELIAS"/>
    <x v="0"/>
    <s v="28/11/2025"/>
    <n v="7581.74"/>
    <n v="1196"/>
    <m/>
    <m/>
    <n v="1196"/>
  </r>
  <r>
    <s v="SL000644"/>
    <n v="102"/>
    <n v="3.4"/>
    <n v="99.9"/>
    <n v="339.66"/>
    <s v="FAMILIAR"/>
    <s v="ALEX SANDRO DA SILVA MORAES"/>
    <x v="1"/>
    <s v="27/12/2025"/>
    <n v="7581.96"/>
    <n v="1196"/>
    <n v="339.66"/>
    <n v="856.33999999999992"/>
    <m/>
  </r>
  <r>
    <s v="SL000648"/>
    <n v="103"/>
    <n v="3.4333333333333331"/>
    <n v="99.9"/>
    <n v="342.99"/>
    <s v="FAMILIAR"/>
    <s v="ANDRE LUIS ALVES M."/>
    <x v="1"/>
    <s v="26/12/2025"/>
    <n v="6681.96"/>
    <n v="1196"/>
    <n v="342.99"/>
    <n v="853.01"/>
    <m/>
  </r>
  <r>
    <s v="SL000649"/>
    <n v="103"/>
    <n v="3.4333333333333331"/>
    <n v="99.9"/>
    <n v="342.99"/>
    <s v="FAMILIAR"/>
    <s v="KATHERINE ANGEL G. W. CESAR "/>
    <x v="1"/>
    <s v="26/12/2025"/>
    <n v="6681.96"/>
    <n v="1196"/>
    <n v="342.99"/>
    <n v="853.01"/>
    <m/>
  </r>
  <r>
    <s v="SL000650"/>
    <n v="103"/>
    <m/>
    <m/>
    <m/>
    <s v="FAMILIAR"/>
    <s v="PAULO ROBERTO "/>
    <x v="0"/>
    <s v="26/12/2025"/>
    <n v="4611.96"/>
    <n v="1196"/>
    <m/>
    <m/>
    <n v="1196"/>
  </r>
  <r>
    <s v="SL000653"/>
    <n v="96"/>
    <m/>
    <m/>
    <m/>
    <s v="FAMILIAR"/>
    <s v="LEANDRO GIOMA GONÇALVES"/>
    <x v="0"/>
    <s v="02/01/2026"/>
    <n v="4611.96"/>
    <n v="1196"/>
    <m/>
    <m/>
    <n v="1196"/>
  </r>
  <r>
    <s v="SL000657"/>
    <m/>
    <m/>
    <m/>
    <m/>
    <s v="FAMILIAR"/>
    <s v="GELSON MACHADO"/>
    <x v="0"/>
    <s v="28/12/2025"/>
    <n v="7581.74"/>
    <n v="1196"/>
    <m/>
    <m/>
    <n v="1196"/>
  </r>
  <r>
    <s v="SL000659"/>
    <n v="101"/>
    <m/>
    <m/>
    <m/>
    <s v="FAMILIAR"/>
    <s v="FÁTIMA LUCIANA COSTA LUZ"/>
    <x v="0"/>
    <s v="28/12/2025"/>
    <n v="4188"/>
    <n v="1196"/>
    <m/>
    <m/>
    <n v="1196"/>
  </r>
  <r>
    <s v="SL000661"/>
    <n v="96"/>
    <m/>
    <m/>
    <m/>
    <s v="FAMILIAR"/>
    <s v="RICHARD JUAN ALENCASTRO H."/>
    <x v="0"/>
    <s v="02/01/2026"/>
    <n v="4188"/>
    <n v="1196"/>
    <m/>
    <m/>
    <n v="1196"/>
  </r>
  <r>
    <s v="SL000663"/>
    <n v="96"/>
    <m/>
    <m/>
    <m/>
    <s v="FAMILIAR"/>
    <s v="MARA CRISTINA DE ROSÁRIO D."/>
    <x v="0"/>
    <s v="02/01/2026"/>
    <n v="5388"/>
    <n v="1196"/>
    <m/>
    <m/>
    <n v="1196"/>
  </r>
  <r>
    <s v="SL000664"/>
    <n v="96"/>
    <m/>
    <m/>
    <m/>
    <s v="FAMILIAR"/>
    <s v="ELIESE BENETI DA SILVA ANDRADE"/>
    <x v="0"/>
    <s v="02/01/2026"/>
    <n v="4611.96"/>
    <n v="1196"/>
    <m/>
    <m/>
    <n v="1196"/>
  </r>
  <r>
    <s v="SL000666"/>
    <n v="117"/>
    <m/>
    <m/>
    <m/>
    <s v="FAMILIAR"/>
    <s v="ANTONIO MARCOS FERNANDO NETO"/>
    <x v="0"/>
    <s v="12/12/2025"/>
    <n v="4611.96"/>
    <n v="1196"/>
    <m/>
    <m/>
    <n v="1196"/>
  </r>
  <r>
    <s v="SL000667"/>
    <n v="116"/>
    <m/>
    <m/>
    <m/>
    <s v="FAMILIAR"/>
    <s v="SERLI SALETE T. MOREIRA"/>
    <x v="0"/>
    <s v="13/12/2025"/>
    <n v="4611.96"/>
    <n v="1196"/>
    <m/>
    <m/>
    <n v="1196"/>
  </r>
  <r>
    <s v="SL000668"/>
    <n v="113"/>
    <n v="3.7666666666666666"/>
    <n v="99.9"/>
    <n v="376.29"/>
    <s v="FAMILIAR"/>
    <s v="MARESSA DO ROSÁRIO PEREIRA"/>
    <x v="1"/>
    <s v="16/12/2025"/>
    <n v="6681.96"/>
    <n v="1196"/>
    <n v="376.29"/>
    <n v="819.71"/>
    <m/>
  </r>
  <r>
    <s v="SL000672"/>
    <n v="100"/>
    <n v="3.3333333333333335"/>
    <n v="99.9"/>
    <n v="333.00000000000006"/>
    <s v="FAMILIAR"/>
    <s v="DANIELA DO ROCIO ALVES B."/>
    <x v="1"/>
    <s v="29/12/2025"/>
    <n v="7581.96"/>
    <n v="1196"/>
    <n v="333.00000000000006"/>
    <n v="863"/>
    <m/>
  </r>
  <r>
    <s v="SL000675"/>
    <n v="94"/>
    <m/>
    <m/>
    <m/>
    <s v="FAMILIAR"/>
    <s v="NEIVA DA PENHA PRIETO CAILLOT"/>
    <x v="0"/>
    <s v="04/01/2026"/>
    <n v="4611.96"/>
    <n v="1196"/>
    <m/>
    <m/>
    <n v="1196"/>
  </r>
  <r>
    <s v="SL000676"/>
    <n v="88"/>
    <n v="2.9333333333333331"/>
    <n v="99.9"/>
    <n v="293.04000000000002"/>
    <s v="FAMILIAR"/>
    <s v="LETICIA MAGDA RICARDO"/>
    <x v="1"/>
    <s v="10/01/2026"/>
    <n v="6681.96"/>
    <n v="1196"/>
    <n v="293.04000000000002"/>
    <n v="902.96"/>
    <m/>
  </r>
  <r>
    <s v="SL000677"/>
    <n v="98"/>
    <n v="3.2666666666666666"/>
    <n v="99.9"/>
    <n v="326.34000000000003"/>
    <s v="FAMILIAR"/>
    <s v="ELIELTON FERREIRA PEDROSA"/>
    <x v="1"/>
    <d v="2025-12-31T00:00:00"/>
    <n v="6310.74"/>
    <n v="1196"/>
    <n v="326.34000000000003"/>
    <n v="869.66"/>
    <m/>
  </r>
  <r>
    <s v="SL000678"/>
    <m/>
    <m/>
    <m/>
    <m/>
    <s v="FAMILIAR"/>
    <s v="ANDRÉ LUIZ DA COSTA MENDES"/>
    <x v="0"/>
    <s v="31/12/2025"/>
    <n v="12381.9"/>
    <n v="1196"/>
    <m/>
    <m/>
    <n v="1196"/>
  </r>
  <r>
    <s v="SL000680"/>
    <n v="87"/>
    <n v="2.9"/>
    <n v="99.9"/>
    <n v="289.70999999999998"/>
    <s v="FAMILIAR"/>
    <s v="MATHEUS MOBELLI DO CARMO"/>
    <x v="1"/>
    <s v="11/01/2026"/>
    <n v="7581.96"/>
    <n v="1196"/>
    <n v="289.70999999999998"/>
    <n v="906.29"/>
    <m/>
  </r>
  <r>
    <s v="SL000681"/>
    <n v="73"/>
    <m/>
    <m/>
    <m/>
    <s v="FAMILIAR"/>
    <s v="BEATRIZ COSTA NEVES D."/>
    <x v="0"/>
    <s v="25/01/2026"/>
    <n v="4842.54"/>
    <n v="1196"/>
    <m/>
    <m/>
    <n v="1196"/>
  </r>
  <r>
    <s v="SL000682"/>
    <n v="73"/>
    <m/>
    <m/>
    <m/>
    <s v="FAMILIAR"/>
    <s v="MARIA JAKELLYNE RIBEIRO FEITOZ"/>
    <x v="0"/>
    <s v="25/01/2026"/>
    <n v="4842.54"/>
    <n v="1196"/>
    <m/>
    <m/>
    <n v="1196"/>
  </r>
  <r>
    <s v="SL000684"/>
    <n v="99"/>
    <n v="3.3"/>
    <n v="99.9"/>
    <n v="329.67"/>
    <s v="FAMILIAR"/>
    <s v="GRACE KELLY DE SOUZA MACIO REZ"/>
    <x v="1"/>
    <s v="30/12/2025"/>
    <n v="7581.96"/>
    <n v="1196"/>
    <n v="329.67"/>
    <n v="866.32999999999993"/>
    <m/>
  </r>
  <r>
    <s v="SL000691"/>
    <n v="96"/>
    <m/>
    <m/>
    <m/>
    <s v="FAMILIAR"/>
    <s v="LEANDRO CARVALHO VIEIRA "/>
    <x v="0"/>
    <s v="02/01/2026"/>
    <n v="4611.96"/>
    <n v="1196"/>
    <m/>
    <m/>
    <n v="1196"/>
  </r>
  <r>
    <s v="SL000692"/>
    <n v="47"/>
    <m/>
    <m/>
    <m/>
    <s v="FAMILIAR"/>
    <s v="JOSÉ AUGUSTO HASMATIUK PESEL"/>
    <x v="0"/>
    <s v="10/01/0026"/>
    <n v="4188"/>
    <n v="1196"/>
    <m/>
    <m/>
    <n v="1196"/>
  </r>
  <r>
    <s v="SL000693"/>
    <n v="92"/>
    <n v="3.0666666666666669"/>
    <n v="99.9"/>
    <n v="306.36"/>
    <s v="FAMILIAR"/>
    <s v="CLAUDEMIR DOS SANTOS"/>
    <x v="1"/>
    <s v="06/01/2026"/>
    <n v="6681.96"/>
    <n v="1196"/>
    <n v="306.36"/>
    <n v="889.64"/>
    <m/>
  </r>
  <r>
    <s v="SL000697"/>
    <n v="95"/>
    <n v="3.1666666666666665"/>
    <n v="99.9"/>
    <n v="316.35000000000002"/>
    <s v="FAMILIAR"/>
    <s v="ANTONIO ALEXANDRE LAUTHARTH"/>
    <x v="1"/>
    <s v="03/01/2026"/>
    <n v="6681.96"/>
    <n v="1196"/>
    <n v="316.35000000000002"/>
    <n v="879.65"/>
    <m/>
  </r>
  <r>
    <s v="SL000698"/>
    <n v="91"/>
    <n v="3.0333333333333332"/>
    <n v="99.9"/>
    <n v="303.03000000000003"/>
    <s v="FAMILIAR"/>
    <s v="EDSON JOSE ROSSI"/>
    <x v="1"/>
    <s v="07/01/2026"/>
    <n v="6681.96"/>
    <n v="1196"/>
    <n v="303.03000000000003"/>
    <n v="892.97"/>
    <m/>
  </r>
  <r>
    <s v="SL000699"/>
    <n v="91"/>
    <m/>
    <m/>
    <m/>
    <s v="FAMILIAR"/>
    <s v="LEANDRO M. FERREIRA"/>
    <x v="0"/>
    <s v="07/01/2026"/>
    <n v="4188"/>
    <n v="1196"/>
    <m/>
    <m/>
    <n v="1196"/>
  </r>
  <r>
    <s v="SL000700"/>
    <n v="91"/>
    <m/>
    <m/>
    <m/>
    <s v="FAMILIAR"/>
    <s v="RODRIGO MOTTA"/>
    <x v="0"/>
    <s v="07/01/2026"/>
    <n v="7242.96"/>
    <n v="1196"/>
    <m/>
    <m/>
    <n v="1196"/>
  </r>
  <r>
    <s v="SL000702"/>
    <m/>
    <m/>
    <m/>
    <m/>
    <s v="FAMILIAR"/>
    <s v="DAIANE CRISTINA FERONATO D/SAN"/>
    <x v="0"/>
    <s v="04/01/2026"/>
    <n v="4188"/>
    <n v="1196"/>
    <m/>
    <m/>
    <n v="1196"/>
  </r>
  <r>
    <s v="SL000703"/>
    <n v="92"/>
    <m/>
    <m/>
    <m/>
    <s v="FAMILIAR"/>
    <s v="JOSUE MATEUS DE SOUZA"/>
    <x v="0"/>
    <s v="06/01/2026"/>
    <n v="4611.96"/>
    <n v="1196"/>
    <m/>
    <m/>
    <n v="1196"/>
  </r>
  <r>
    <s v="SL000704"/>
    <n v="92"/>
    <n v="3.0666666666666669"/>
    <n v="99.9"/>
    <n v="306.36"/>
    <s v="FAMILIAR"/>
    <s v="LUIZ FERNANDO ZANON"/>
    <x v="1"/>
    <s v="06/01/2026"/>
    <n v="6681.96"/>
    <n v="1196"/>
    <n v="306.36"/>
    <n v="889.64"/>
    <m/>
  </r>
  <r>
    <s v="SL000716"/>
    <n v="87"/>
    <m/>
    <m/>
    <m/>
    <s v="FAMILIAR"/>
    <s v="ROBSON CORREA DA CRUZ"/>
    <x v="0"/>
    <s v="11/01/2026"/>
    <n v="4500"/>
    <n v="1196"/>
    <m/>
    <m/>
    <n v="1196"/>
  </r>
  <r>
    <s v="SL000719"/>
    <n v="91"/>
    <m/>
    <m/>
    <m/>
    <s v="FAMILIAR"/>
    <s v="AMIANO DA COSTA RODRIGUES"/>
    <x v="0"/>
    <s v="07/01/2026"/>
    <n v="4842.54"/>
    <n v="1196"/>
    <m/>
    <m/>
    <n v="1196"/>
  </r>
  <r>
    <s v="SL000732"/>
    <m/>
    <m/>
    <m/>
    <m/>
    <s v="FAMILIAR"/>
    <s v="RAPHAEL TARTARA PESCAROLO"/>
    <x v="0"/>
    <s v="10/01/2026"/>
    <n v="6681.96"/>
    <n v="1196"/>
    <m/>
    <m/>
    <n v="1196"/>
  </r>
  <r>
    <s v="SL000733"/>
    <n v="86"/>
    <m/>
    <m/>
    <m/>
    <s v="FAMILIAR"/>
    <s v="JEAN MARCEL NUNES CARDOSO"/>
    <x v="0"/>
    <s v="12/01/2026"/>
    <n v="4188"/>
    <n v="1196"/>
    <m/>
    <m/>
    <n v="1196"/>
  </r>
  <r>
    <s v="SL000735"/>
    <n v="76"/>
    <n v="2.5333333333333332"/>
    <n v="99.9"/>
    <n v="253.08"/>
    <s v="FAMILIAR"/>
    <s v="LUIS CESAR DE MELO"/>
    <x v="1"/>
    <s v="22/01/2026"/>
    <n v="6681.96"/>
    <n v="1196"/>
    <n v="253.08"/>
    <n v="942.92"/>
    <m/>
  </r>
  <r>
    <s v="SL000736"/>
    <m/>
    <m/>
    <m/>
    <m/>
    <s v="FAMILIAR"/>
    <s v="MARCIA GLETO DA SILVA"/>
    <x v="0"/>
    <s v="23/01/2026"/>
    <n v="6681.74"/>
    <n v="1196"/>
    <m/>
    <m/>
    <n v="1196"/>
  </r>
  <r>
    <s v="SL000739"/>
    <n v="79"/>
    <n v="2.6333333333333333"/>
    <n v="99.9"/>
    <n v="263.07"/>
    <s v="FAMILIAR"/>
    <s v="ADRIANA   JESUS  MACEIA"/>
    <x v="1"/>
    <s v="19/01/2026"/>
    <n v="7581.96"/>
    <n v="1196"/>
    <n v="263.07"/>
    <n v="932.93000000000006"/>
    <m/>
  </r>
  <r>
    <s v="SL000742"/>
    <m/>
    <m/>
    <m/>
    <m/>
    <s v="FAMILIAR"/>
    <s v="ERIKA BRAGUIN"/>
    <x v="0"/>
    <s v="08/01/2026"/>
    <n v="5211.92"/>
    <n v="1196"/>
    <m/>
    <m/>
    <n v="1196"/>
  </r>
  <r>
    <s v="SL000747"/>
    <n v="87"/>
    <n v="2.9"/>
    <n v="99.9"/>
    <n v="289.70999999999998"/>
    <s v="FAMILIAR"/>
    <s v="KAUÊ MAUSQUER PERELLO"/>
    <x v="1"/>
    <s v="11/01/2026"/>
    <n v="7581.96"/>
    <n v="1196"/>
    <n v="289.70999999999998"/>
    <n v="906.29"/>
    <m/>
  </r>
  <r>
    <s v="SL000752"/>
    <n v="78"/>
    <n v="2.6"/>
    <n v="99.9"/>
    <n v="259.74"/>
    <s v="FAMILIAR"/>
    <s v="FERNANDA MERINO D/SOUZA"/>
    <x v="1"/>
    <s v="20/01/2026"/>
    <n v="9982.02"/>
    <n v="1196"/>
    <n v="259.74"/>
    <n v="936.26"/>
    <m/>
  </r>
  <r>
    <s v="SL000766"/>
    <m/>
    <m/>
    <m/>
    <m/>
    <s v="FAMILIAR"/>
    <s v="ARIADNE GABRIELE MARTINS"/>
    <x v="0"/>
    <s v="25/01/2026"/>
    <n v="6681.96"/>
    <n v="1196"/>
    <m/>
    <m/>
    <n v="1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0A234-1890-4A3D-B194-3298F5BE17D4}" name="Tabela dinâmica2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1" rowHeaderCaption="Plano">
  <location ref="A1:E4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n="PARCELADO" x="1"/>
        <item t="default"/>
      </items>
    </pivotField>
    <pivotField showAll="0"/>
    <pivotField numFmtId="164" showAll="0"/>
    <pivotField dataField="1" numFmtId="44" showAll="0"/>
    <pivotField dataField="1" showAll="0"/>
    <pivotField dataField="1" showAll="0"/>
    <pivotField dataField="1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R$ PARCELADO" fld="11" baseField="0" baseItem="0"/>
    <dataField name="Soma de R$ Parcelado Receber" fld="12" baseField="0" baseItem="0"/>
    <dataField name="Soma de R$ A VISTA" fld="13" baseField="0" baseItem="0"/>
    <dataField name="Soma de R$TOTAL FÉRIAS FACIL " fld="10" baseField="0" baseItem="0" numFmtId="44"/>
  </dataFields>
  <formats count="19">
    <format dxfId="295">
      <pivotArea type="all" dataOnly="0" outline="0" fieldPosition="0"/>
    </format>
    <format dxfId="29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93">
      <pivotArea outline="0" collapsedLevelsAreSubtotals="1" fieldPosition="0"/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field="7" type="button" dataOnly="0" labelOnly="1" outline="0" axis="axisRow" fieldPosition="0"/>
    </format>
    <format dxfId="289">
      <pivotArea dataOnly="0" labelOnly="1" fieldPosition="0">
        <references count="1">
          <reference field="7" count="0"/>
        </references>
      </pivotArea>
    </format>
    <format dxfId="288">
      <pivotArea dataOnly="0" labelOnly="1" grandRow="1" outline="0" fieldPosition="0"/>
    </format>
    <format dxfId="28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dataOnly="0" labelOnly="1" fieldPosition="0">
        <references count="1">
          <reference field="7" count="0"/>
        </references>
      </pivotArea>
    </format>
    <format dxfId="283">
      <pivotArea dataOnly="0" labelOnly="1" grandRow="1" outline="0" fieldPosition="0"/>
    </format>
    <format dxfId="282">
      <pivotArea field="7" type="button" dataOnly="0" labelOnly="1" outline="0" axis="axisRow" fieldPosition="0"/>
    </format>
    <format dxfId="281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80">
      <pivotArea field="7" type="button" dataOnly="0" labelOnly="1" outline="0" axis="axisRow" fieldPosition="0"/>
    </format>
    <format dxfId="279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7"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O" xr10:uid="{54788ACD-8560-4553-A875-7C7FBD564D8A}" sourceName="PLANO">
  <pivotTables>
    <pivotTable tabId="3" name="Tabela dinâmica2"/>
  </pivotTables>
  <data>
    <tabular pivotCacheId="1367853222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" xr10:uid="{15D9D294-676D-4A02-B621-C4EF67C66136}" cache="SegmentaçãodeDados_PLANO" caption="PLAN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046421-E938-4D7A-B379-667AB8624F4B}" name="Tabela2" displayName="Tabela2" ref="A2:N536" totalsRowShown="0">
  <autoFilter ref="A2:N536" xr:uid="{B407BB8E-EB67-4927-B7AF-90A76D1725A0}"/>
  <tableColumns count="14">
    <tableColumn id="1" xr3:uid="{D5CF6EC5-E8DB-450D-97C0-1069A8611D31}" name="TITULO" dataCellStyle="Normal 2"/>
    <tableColumn id="2" xr3:uid="{5FB69186-713D-4DB9-8032-838CB80023A0}" name="Nº DIAS DA VENDA" dataDxfId="276" dataCellStyle="Normal 2"/>
    <tableColumn id="3" xr3:uid="{FEB5A306-956F-4D7F-97D4-0B50E81EEBB2}" name="Nº PARCELAS " dataDxfId="275" dataCellStyle="Normal 2"/>
    <tableColumn id="4" xr3:uid="{A9989865-59FB-4FF0-BDED-BC5C8220584B}" name="R$ PARCELA" dataDxfId="274" dataCellStyle="Moeda"/>
    <tableColumn id="5" xr3:uid="{FF783042-CAD0-4C70-8BDC-351AEF8944B3}" name="R$ TOTAL PARCELAS" dataDxfId="273" dataCellStyle="Moeda"/>
    <tableColumn id="6" xr3:uid="{F3E4DAD7-02D6-41B3-947D-47D7D66BDD95}" name="TIPO DO PLANO " dataDxfId="272" dataCellStyle="Normal 2"/>
    <tableColumn id="7" xr3:uid="{AEA0C284-7E9E-4169-B80F-016A60E5FC15}" name="EM_PODER" dataCellStyle="Normal 2"/>
    <tableColumn id="8" xr3:uid="{FA13CBFE-3028-4213-86CB-3D49032DBCB8}" name="PLANO" dataDxfId="271" dataCellStyle="Normal 2"/>
    <tableColumn id="9" xr3:uid="{D2E1430A-8C6C-4D9C-8644-3CAC4657D7C0}" name="DTVENDA" dataDxfId="270" dataCellStyle="Normal 2"/>
    <tableColumn id="10" xr3:uid="{17DBC80B-1912-455A-ABB8-A9068C75BE9B}" name="VRTOTALCONTRATO" dataDxfId="269" dataCellStyle="Moeda"/>
    <tableColumn id="11" xr3:uid="{AE404145-8EB1-4A1B-9F70-9BB7DFFEFF3C}" name="R$TOTAL FÉRIAS FACIL " dataDxfId="268" dataCellStyle="Moeda"/>
    <tableColumn id="12" xr3:uid="{8DC6A1BC-C4A0-45AC-ADF3-01E76B9416F5}" name="R$ PARCELADO" dataDxfId="267" dataCellStyle="Normal 2"/>
    <tableColumn id="15" xr3:uid="{038EF5B2-965F-4ADA-9214-FEBBBF51D8EE}" name="R$ Parcelado Receber" dataDxfId="266" dataCellStyle="Normal 2"/>
    <tableColumn id="13" xr3:uid="{5200D2AE-6345-412D-BF89-5164571062D0}" name="R$ A VISTA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6F8D-0928-4A0C-BE63-5BB74460BA14}">
  <dimension ref="A1:M536"/>
  <sheetViews>
    <sheetView showGridLines="0" topLeftCell="F516" zoomScaleNormal="100" workbookViewId="0">
      <selection activeCell="L536" sqref="L536"/>
    </sheetView>
  </sheetViews>
  <sheetFormatPr defaultRowHeight="15" x14ac:dyDescent="0.25"/>
  <cols>
    <col min="2" max="4" width="17.7109375" style="2" customWidth="1"/>
    <col min="5" max="5" width="24.42578125" style="2" customWidth="1"/>
    <col min="6" max="6" width="18" style="2" bestFit="1" customWidth="1"/>
    <col min="7" max="7" width="31.140625" bestFit="1" customWidth="1"/>
    <col min="8" max="8" width="18.7109375" style="2" bestFit="1" customWidth="1"/>
    <col min="9" max="9" width="12" style="2" bestFit="1" customWidth="1"/>
    <col min="10" max="10" width="19.42578125" style="2" bestFit="1" customWidth="1"/>
    <col min="11" max="11" width="23.5703125" style="1" bestFit="1" customWidth="1"/>
    <col min="12" max="13" width="19.42578125" customWidth="1"/>
  </cols>
  <sheetData>
    <row r="1" spans="1:13" s="17" customFormat="1" x14ac:dyDescent="0.25">
      <c r="B1" s="18">
        <v>30</v>
      </c>
      <c r="C1" s="18"/>
      <c r="D1" s="18"/>
      <c r="E1" s="18"/>
      <c r="F1" s="18"/>
      <c r="H1" s="18"/>
      <c r="I1" s="24">
        <f ca="1">TODAY()</f>
        <v>46120</v>
      </c>
      <c r="J1" s="18"/>
      <c r="K1" s="20">
        <f>SUM(K3:K536)</f>
        <v>547768</v>
      </c>
      <c r="L1" s="21">
        <f>SUM(L3:L536)</f>
        <v>107726.60000000027</v>
      </c>
      <c r="M1" s="21">
        <f>SUM(M3:M536)</f>
        <v>256542</v>
      </c>
    </row>
    <row r="2" spans="1:13" x14ac:dyDescent="0.25">
      <c r="A2" s="3" t="s">
        <v>0</v>
      </c>
      <c r="B2" s="4" t="s">
        <v>1191</v>
      </c>
      <c r="C2" s="4" t="s">
        <v>1192</v>
      </c>
      <c r="D2" s="4" t="s">
        <v>1193</v>
      </c>
      <c r="E2" s="4" t="s">
        <v>1196</v>
      </c>
      <c r="F2" s="4" t="s">
        <v>1185</v>
      </c>
      <c r="G2" s="3" t="s">
        <v>1</v>
      </c>
      <c r="H2" s="4" t="s">
        <v>2</v>
      </c>
      <c r="I2" s="4" t="s">
        <v>3</v>
      </c>
      <c r="J2" s="4" t="s">
        <v>4</v>
      </c>
      <c r="K2" s="32" t="s">
        <v>1190</v>
      </c>
      <c r="L2" s="33" t="s">
        <v>1194</v>
      </c>
      <c r="M2" s="33" t="s">
        <v>1195</v>
      </c>
    </row>
    <row r="3" spans="1:13" x14ac:dyDescent="0.25">
      <c r="A3" s="6" t="s">
        <v>5</v>
      </c>
      <c r="B3" s="7">
        <f t="shared" ref="B3:B8" ca="1" si="0">$I$1-I3</f>
        <v>132</v>
      </c>
      <c r="C3" s="7"/>
      <c r="D3" s="7"/>
      <c r="E3" s="7"/>
      <c r="F3" s="7" t="s">
        <v>1183</v>
      </c>
      <c r="G3" s="6" t="s">
        <v>7</v>
      </c>
      <c r="H3" s="7" t="s">
        <v>1187</v>
      </c>
      <c r="I3" s="25" t="s">
        <v>8</v>
      </c>
      <c r="J3" s="9">
        <v>2244</v>
      </c>
      <c r="K3" s="15">
        <v>598</v>
      </c>
      <c r="L3" s="6"/>
      <c r="M3" s="11">
        <f>K3</f>
        <v>598</v>
      </c>
    </row>
    <row r="4" spans="1:13" x14ac:dyDescent="0.25">
      <c r="A4" s="6" t="s">
        <v>9</v>
      </c>
      <c r="B4" s="7">
        <f t="shared" ca="1" si="0"/>
        <v>131</v>
      </c>
      <c r="C4" s="12">
        <v>4</v>
      </c>
      <c r="D4" s="10">
        <v>49.9</v>
      </c>
      <c r="E4" s="10">
        <f>D4*C4</f>
        <v>199.6</v>
      </c>
      <c r="F4" s="7" t="s">
        <v>1183</v>
      </c>
      <c r="G4" s="6" t="s">
        <v>11</v>
      </c>
      <c r="H4" s="7" t="s">
        <v>1186</v>
      </c>
      <c r="I4" s="25" t="s">
        <v>6</v>
      </c>
      <c r="J4" s="9">
        <v>2040</v>
      </c>
      <c r="K4" s="15">
        <v>598</v>
      </c>
      <c r="L4" s="11">
        <f>E4</f>
        <v>199.6</v>
      </c>
      <c r="M4" s="6"/>
    </row>
    <row r="5" spans="1:13" x14ac:dyDescent="0.25">
      <c r="A5" s="6" t="s">
        <v>14</v>
      </c>
      <c r="B5" s="7">
        <f t="shared" ca="1" si="0"/>
        <v>117</v>
      </c>
      <c r="C5" s="7"/>
      <c r="D5" s="7"/>
      <c r="E5" s="7"/>
      <c r="F5" s="7" t="s">
        <v>1183</v>
      </c>
      <c r="G5" s="6" t="s">
        <v>16</v>
      </c>
      <c r="H5" s="7" t="s">
        <v>1187</v>
      </c>
      <c r="I5" s="25" t="s">
        <v>15</v>
      </c>
      <c r="J5" s="9">
        <v>2244</v>
      </c>
      <c r="K5" s="15">
        <v>598</v>
      </c>
      <c r="L5" s="6"/>
      <c r="M5" s="11">
        <f>K5</f>
        <v>598</v>
      </c>
    </row>
    <row r="6" spans="1:13" x14ac:dyDescent="0.25">
      <c r="A6" s="6" t="s">
        <v>17</v>
      </c>
      <c r="B6" s="7">
        <f t="shared" ca="1" si="0"/>
        <v>98</v>
      </c>
      <c r="C6" s="12">
        <v>3</v>
      </c>
      <c r="D6" s="10">
        <v>49.9</v>
      </c>
      <c r="E6" s="10">
        <f>D6*C6</f>
        <v>149.69999999999999</v>
      </c>
      <c r="F6" s="7" t="s">
        <v>1183</v>
      </c>
      <c r="G6" s="6" t="s">
        <v>19</v>
      </c>
      <c r="H6" s="7" t="s">
        <v>1188</v>
      </c>
      <c r="I6" s="25" t="s">
        <v>18</v>
      </c>
      <c r="J6" s="9">
        <v>2820</v>
      </c>
      <c r="K6" s="15">
        <v>598</v>
      </c>
      <c r="L6" s="11">
        <f>E6</f>
        <v>149.69999999999999</v>
      </c>
      <c r="M6" s="6"/>
    </row>
    <row r="7" spans="1:13" x14ac:dyDescent="0.25">
      <c r="A7" s="6" t="s">
        <v>20</v>
      </c>
      <c r="B7" s="7">
        <f t="shared" ca="1" si="0"/>
        <v>98</v>
      </c>
      <c r="C7" s="7"/>
      <c r="D7" s="7"/>
      <c r="E7" s="7"/>
      <c r="F7" s="7" t="s">
        <v>1183</v>
      </c>
      <c r="G7" s="6" t="s">
        <v>22</v>
      </c>
      <c r="H7" s="7" t="s">
        <v>1187</v>
      </c>
      <c r="I7" s="25" t="s">
        <v>18</v>
      </c>
      <c r="J7" s="9">
        <v>2244</v>
      </c>
      <c r="K7" s="15">
        <v>598</v>
      </c>
      <c r="L7" s="6"/>
      <c r="M7" s="11">
        <f>K7</f>
        <v>598</v>
      </c>
    </row>
    <row r="8" spans="1:13" x14ac:dyDescent="0.25">
      <c r="A8" s="6" t="s">
        <v>23</v>
      </c>
      <c r="B8" s="7">
        <f t="shared" ca="1" si="0"/>
        <v>85</v>
      </c>
      <c r="C8" s="12">
        <v>3</v>
      </c>
      <c r="D8" s="10">
        <v>49.9</v>
      </c>
      <c r="E8" s="10">
        <f>D8*C8</f>
        <v>149.69999999999999</v>
      </c>
      <c r="F8" s="7" t="s">
        <v>1183</v>
      </c>
      <c r="G8" s="6" t="s">
        <v>25</v>
      </c>
      <c r="H8" s="7" t="s">
        <v>1188</v>
      </c>
      <c r="I8" s="25" t="s">
        <v>24</v>
      </c>
      <c r="J8" s="9">
        <v>2640</v>
      </c>
      <c r="K8" s="15">
        <v>598</v>
      </c>
      <c r="L8" s="11">
        <f>E8</f>
        <v>149.69999999999999</v>
      </c>
      <c r="M8" s="6"/>
    </row>
    <row r="9" spans="1:13" x14ac:dyDescent="0.25">
      <c r="A9" s="6" t="s">
        <v>26</v>
      </c>
      <c r="B9" s="7">
        <f t="shared" ref="B9:B15" ca="1" si="1">$I$1-I9</f>
        <v>168</v>
      </c>
      <c r="C9" s="7"/>
      <c r="D9" s="7"/>
      <c r="E9" s="7"/>
      <c r="F9" s="7" t="s">
        <v>1184</v>
      </c>
      <c r="G9" s="6" t="s">
        <v>28</v>
      </c>
      <c r="H9" s="7" t="s">
        <v>1187</v>
      </c>
      <c r="I9" s="25" t="s">
        <v>29</v>
      </c>
      <c r="J9" s="9">
        <v>4611.96</v>
      </c>
      <c r="K9" s="16">
        <v>1196</v>
      </c>
      <c r="L9" s="6"/>
      <c r="M9" s="11">
        <f t="shared" ref="M9:M13" si="2">K9</f>
        <v>1196</v>
      </c>
    </row>
    <row r="10" spans="1:13" x14ac:dyDescent="0.25">
      <c r="A10" s="6" t="s">
        <v>30</v>
      </c>
      <c r="B10" s="7">
        <f t="shared" ca="1" si="1"/>
        <v>166</v>
      </c>
      <c r="C10" s="7"/>
      <c r="D10" s="7"/>
      <c r="E10" s="7"/>
      <c r="F10" s="7" t="s">
        <v>1184</v>
      </c>
      <c r="G10" s="6" t="s">
        <v>31</v>
      </c>
      <c r="H10" s="7" t="s">
        <v>1187</v>
      </c>
      <c r="I10" s="25" t="s">
        <v>32</v>
      </c>
      <c r="J10" s="9">
        <v>4611.96</v>
      </c>
      <c r="K10" s="16">
        <v>1196</v>
      </c>
      <c r="L10" s="6"/>
      <c r="M10" s="11">
        <f t="shared" si="2"/>
        <v>1196</v>
      </c>
    </row>
    <row r="11" spans="1:13" x14ac:dyDescent="0.25">
      <c r="A11" s="6" t="s">
        <v>33</v>
      </c>
      <c r="B11" s="7">
        <f t="shared" ca="1" si="1"/>
        <v>160</v>
      </c>
      <c r="C11" s="7"/>
      <c r="D11" s="7"/>
      <c r="E11" s="7"/>
      <c r="F11" s="7" t="s">
        <v>1184</v>
      </c>
      <c r="G11" s="6" t="s">
        <v>35</v>
      </c>
      <c r="H11" s="7" t="s">
        <v>1187</v>
      </c>
      <c r="I11" s="25">
        <v>45960</v>
      </c>
      <c r="J11" s="9">
        <v>4611.96</v>
      </c>
      <c r="K11" s="16">
        <v>1196</v>
      </c>
      <c r="L11" s="6"/>
      <c r="M11" s="11">
        <f t="shared" si="2"/>
        <v>1196</v>
      </c>
    </row>
    <row r="12" spans="1:13" x14ac:dyDescent="0.25">
      <c r="A12" s="6" t="s">
        <v>37</v>
      </c>
      <c r="B12" s="7">
        <f t="shared" ca="1" si="1"/>
        <v>160</v>
      </c>
      <c r="C12" s="7"/>
      <c r="D12" s="7"/>
      <c r="E12" s="7"/>
      <c r="F12" s="7" t="s">
        <v>1184</v>
      </c>
      <c r="G12" s="6" t="s">
        <v>38</v>
      </c>
      <c r="H12" s="7" t="s">
        <v>1187</v>
      </c>
      <c r="I12" s="25" t="s">
        <v>36</v>
      </c>
      <c r="J12" s="9">
        <v>4611.96</v>
      </c>
      <c r="K12" s="16">
        <v>1196</v>
      </c>
      <c r="L12" s="6"/>
      <c r="M12" s="11">
        <f t="shared" si="2"/>
        <v>1196</v>
      </c>
    </row>
    <row r="13" spans="1:13" x14ac:dyDescent="0.25">
      <c r="A13" s="6" t="s">
        <v>39</v>
      </c>
      <c r="B13" s="7">
        <f t="shared" ca="1" si="1"/>
        <v>156</v>
      </c>
      <c r="C13" s="7"/>
      <c r="D13" s="7"/>
      <c r="E13" s="7"/>
      <c r="F13" s="7" t="s">
        <v>1184</v>
      </c>
      <c r="G13" s="6" t="s">
        <v>40</v>
      </c>
      <c r="H13" s="7" t="s">
        <v>1187</v>
      </c>
      <c r="I13" s="25" t="s">
        <v>41</v>
      </c>
      <c r="J13" s="9">
        <v>7011.96</v>
      </c>
      <c r="K13" s="16">
        <v>1196</v>
      </c>
      <c r="L13" s="6"/>
      <c r="M13" s="11">
        <f t="shared" si="2"/>
        <v>1196</v>
      </c>
    </row>
    <row r="14" spans="1:13" x14ac:dyDescent="0.25">
      <c r="A14" s="6" t="s">
        <v>42</v>
      </c>
      <c r="B14" s="7">
        <f t="shared" ca="1" si="1"/>
        <v>153</v>
      </c>
      <c r="C14" s="12">
        <v>5</v>
      </c>
      <c r="D14" s="10">
        <v>99.9</v>
      </c>
      <c r="E14" s="10">
        <f t="shared" ref="E14:E15" si="3">D14*C14</f>
        <v>499.5</v>
      </c>
      <c r="F14" s="7" t="s">
        <v>1184</v>
      </c>
      <c r="G14" s="6" t="s">
        <v>43</v>
      </c>
      <c r="H14" s="7" t="s">
        <v>1188</v>
      </c>
      <c r="I14" s="25" t="s">
        <v>27</v>
      </c>
      <c r="J14" s="9">
        <v>6681.96</v>
      </c>
      <c r="K14" s="16">
        <v>1196</v>
      </c>
      <c r="L14" s="11">
        <f t="shared" ref="L14:L15" si="4">E14</f>
        <v>499.5</v>
      </c>
      <c r="M14" s="6"/>
    </row>
    <row r="15" spans="1:13" x14ac:dyDescent="0.25">
      <c r="A15" s="6" t="s">
        <v>44</v>
      </c>
      <c r="B15" s="7">
        <f t="shared" ca="1" si="1"/>
        <v>152</v>
      </c>
      <c r="C15" s="12">
        <v>5</v>
      </c>
      <c r="D15" s="10">
        <v>99.9</v>
      </c>
      <c r="E15" s="10">
        <f t="shared" si="3"/>
        <v>499.5</v>
      </c>
      <c r="F15" s="7" t="s">
        <v>1184</v>
      </c>
      <c r="G15" s="6" t="s">
        <v>46</v>
      </c>
      <c r="H15" s="7" t="s">
        <v>1188</v>
      </c>
      <c r="I15" s="25" t="s">
        <v>45</v>
      </c>
      <c r="J15" s="9">
        <v>7881.96</v>
      </c>
      <c r="K15" s="16">
        <v>1196</v>
      </c>
      <c r="L15" s="11">
        <f t="shared" si="4"/>
        <v>499.5</v>
      </c>
      <c r="M15" s="6"/>
    </row>
    <row r="16" spans="1:13" x14ac:dyDescent="0.25">
      <c r="A16" s="6" t="s">
        <v>47</v>
      </c>
      <c r="B16" s="7">
        <f ca="1">$I$1-I16</f>
        <v>152</v>
      </c>
      <c r="C16" s="7"/>
      <c r="D16" s="7"/>
      <c r="E16" s="7"/>
      <c r="F16" s="7" t="s">
        <v>1184</v>
      </c>
      <c r="G16" s="6" t="s">
        <v>49</v>
      </c>
      <c r="H16" s="7" t="s">
        <v>1187</v>
      </c>
      <c r="I16" s="25" t="s">
        <v>45</v>
      </c>
      <c r="J16" s="9">
        <v>6681.96</v>
      </c>
      <c r="K16" s="16">
        <v>1196</v>
      </c>
      <c r="L16" s="6"/>
      <c r="M16" s="11">
        <f>K16</f>
        <v>1196</v>
      </c>
    </row>
    <row r="17" spans="1:13" x14ac:dyDescent="0.25">
      <c r="A17" s="6" t="s">
        <v>50</v>
      </c>
      <c r="B17" s="7">
        <f ca="1">$I$1-I17</f>
        <v>152</v>
      </c>
      <c r="C17" s="12">
        <v>5</v>
      </c>
      <c r="D17" s="10">
        <v>99.9</v>
      </c>
      <c r="E17" s="10">
        <f>D17*C17</f>
        <v>499.5</v>
      </c>
      <c r="F17" s="7" t="s">
        <v>1184</v>
      </c>
      <c r="G17" s="6" t="s">
        <v>51</v>
      </c>
      <c r="H17" s="7" t="s">
        <v>1188</v>
      </c>
      <c r="I17" s="25" t="s">
        <v>45</v>
      </c>
      <c r="J17" s="9">
        <v>6681.96</v>
      </c>
      <c r="K17" s="16">
        <v>1196</v>
      </c>
      <c r="L17" s="11">
        <f>E17</f>
        <v>499.5</v>
      </c>
      <c r="M17" s="6"/>
    </row>
    <row r="18" spans="1:13" x14ac:dyDescent="0.25">
      <c r="A18" s="6" t="s">
        <v>52</v>
      </c>
      <c r="B18" s="7">
        <f t="shared" ref="B18:B26" ca="1" si="5">$I$1-I18</f>
        <v>141</v>
      </c>
      <c r="C18" s="7"/>
      <c r="D18" s="7"/>
      <c r="E18" s="7"/>
      <c r="F18" s="7" t="s">
        <v>1184</v>
      </c>
      <c r="G18" s="6" t="s">
        <v>54</v>
      </c>
      <c r="H18" s="7" t="s">
        <v>1187</v>
      </c>
      <c r="I18" s="25" t="s">
        <v>53</v>
      </c>
      <c r="J18" s="9">
        <v>4611.96</v>
      </c>
      <c r="K18" s="16">
        <v>1196</v>
      </c>
      <c r="L18" s="6"/>
      <c r="M18" s="11">
        <f t="shared" ref="M18:M24" si="6">K18</f>
        <v>1196</v>
      </c>
    </row>
    <row r="19" spans="1:13" x14ac:dyDescent="0.25">
      <c r="A19" s="6" t="s">
        <v>55</v>
      </c>
      <c r="B19" s="7">
        <f t="shared" ca="1" si="5"/>
        <v>140</v>
      </c>
      <c r="C19" s="7"/>
      <c r="D19" s="7"/>
      <c r="E19" s="7"/>
      <c r="F19" s="7" t="s">
        <v>1184</v>
      </c>
      <c r="G19" s="6" t="s">
        <v>56</v>
      </c>
      <c r="H19" s="7" t="s">
        <v>1187</v>
      </c>
      <c r="I19" s="25" t="s">
        <v>57</v>
      </c>
      <c r="J19" s="9">
        <v>4611.96</v>
      </c>
      <c r="K19" s="16">
        <v>1196</v>
      </c>
      <c r="L19" s="6"/>
      <c r="M19" s="11">
        <f t="shared" si="6"/>
        <v>1196</v>
      </c>
    </row>
    <row r="20" spans="1:13" x14ac:dyDescent="0.25">
      <c r="A20" s="6" t="s">
        <v>58</v>
      </c>
      <c r="B20" s="7">
        <f t="shared" ca="1" si="5"/>
        <v>139</v>
      </c>
      <c r="C20" s="7"/>
      <c r="D20" s="7"/>
      <c r="E20" s="7"/>
      <c r="F20" s="7" t="s">
        <v>1184</v>
      </c>
      <c r="G20" s="6" t="s">
        <v>60</v>
      </c>
      <c r="H20" s="7" t="s">
        <v>1187</v>
      </c>
      <c r="I20" s="25" t="s">
        <v>61</v>
      </c>
      <c r="J20" s="9">
        <v>4611.96</v>
      </c>
      <c r="K20" s="16">
        <v>1196</v>
      </c>
      <c r="L20" s="6"/>
      <c r="M20" s="11">
        <f t="shared" si="6"/>
        <v>1196</v>
      </c>
    </row>
    <row r="21" spans="1:13" x14ac:dyDescent="0.25">
      <c r="A21" s="6" t="s">
        <v>62</v>
      </c>
      <c r="B21" s="7">
        <f t="shared" ca="1" si="5"/>
        <v>138</v>
      </c>
      <c r="C21" s="7"/>
      <c r="D21" s="7"/>
      <c r="E21" s="7"/>
      <c r="F21" s="7" t="s">
        <v>1184</v>
      </c>
      <c r="G21" s="6" t="s">
        <v>63</v>
      </c>
      <c r="H21" s="7" t="s">
        <v>1187</v>
      </c>
      <c r="I21" s="25" t="s">
        <v>59</v>
      </c>
      <c r="J21" s="9">
        <v>4611.96</v>
      </c>
      <c r="K21" s="16">
        <v>1196</v>
      </c>
      <c r="L21" s="6"/>
      <c r="M21" s="11">
        <f t="shared" si="6"/>
        <v>1196</v>
      </c>
    </row>
    <row r="22" spans="1:13" x14ac:dyDescent="0.25">
      <c r="A22" s="6" t="s">
        <v>64</v>
      </c>
      <c r="B22" s="7">
        <f t="shared" ca="1" si="5"/>
        <v>137</v>
      </c>
      <c r="C22" s="7"/>
      <c r="D22" s="7"/>
      <c r="E22" s="7"/>
      <c r="F22" s="7" t="s">
        <v>1184</v>
      </c>
      <c r="G22" s="6" t="s">
        <v>65</v>
      </c>
      <c r="H22" s="7" t="s">
        <v>1187</v>
      </c>
      <c r="I22" s="25" t="s">
        <v>66</v>
      </c>
      <c r="J22" s="9">
        <v>4611.96</v>
      </c>
      <c r="K22" s="16">
        <v>1196</v>
      </c>
      <c r="L22" s="6"/>
      <c r="M22" s="11">
        <f t="shared" si="6"/>
        <v>1196</v>
      </c>
    </row>
    <row r="23" spans="1:13" x14ac:dyDescent="0.25">
      <c r="A23" s="6" t="s">
        <v>67</v>
      </c>
      <c r="B23" s="7">
        <f t="shared" ca="1" si="5"/>
        <v>131</v>
      </c>
      <c r="C23" s="7"/>
      <c r="D23" s="7"/>
      <c r="E23" s="7"/>
      <c r="F23" s="7" t="s">
        <v>1184</v>
      </c>
      <c r="G23" s="6" t="s">
        <v>68</v>
      </c>
      <c r="H23" s="7" t="s">
        <v>1187</v>
      </c>
      <c r="I23" s="25" t="s">
        <v>6</v>
      </c>
      <c r="J23" s="9">
        <v>4611.96</v>
      </c>
      <c r="K23" s="16">
        <v>1196</v>
      </c>
      <c r="L23" s="6"/>
      <c r="M23" s="11">
        <f t="shared" si="6"/>
        <v>1196</v>
      </c>
    </row>
    <row r="24" spans="1:13" x14ac:dyDescent="0.25">
      <c r="A24" s="6" t="s">
        <v>70</v>
      </c>
      <c r="B24" s="7">
        <f t="shared" ca="1" si="5"/>
        <v>128</v>
      </c>
      <c r="C24" s="7"/>
      <c r="D24" s="7"/>
      <c r="E24" s="7"/>
      <c r="F24" s="7" t="s">
        <v>1184</v>
      </c>
      <c r="G24" s="6" t="s">
        <v>72</v>
      </c>
      <c r="H24" s="7" t="s">
        <v>1187</v>
      </c>
      <c r="I24" s="25" t="s">
        <v>48</v>
      </c>
      <c r="J24" s="9">
        <v>6681.96</v>
      </c>
      <c r="K24" s="16">
        <v>1196</v>
      </c>
      <c r="L24" s="6"/>
      <c r="M24" s="11">
        <f t="shared" si="6"/>
        <v>1196</v>
      </c>
    </row>
    <row r="25" spans="1:13" x14ac:dyDescent="0.25">
      <c r="A25" s="6" t="s">
        <v>73</v>
      </c>
      <c r="B25" s="7">
        <f t="shared" ca="1" si="5"/>
        <v>125</v>
      </c>
      <c r="C25" s="12">
        <v>4</v>
      </c>
      <c r="D25" s="10">
        <v>99.9</v>
      </c>
      <c r="E25" s="10">
        <f t="shared" ref="E25:E26" si="7">D25*C25</f>
        <v>399.6</v>
      </c>
      <c r="F25" s="7" t="s">
        <v>1184</v>
      </c>
      <c r="G25" s="6" t="s">
        <v>74</v>
      </c>
      <c r="H25" s="7" t="s">
        <v>1188</v>
      </c>
      <c r="I25" s="25" t="s">
        <v>75</v>
      </c>
      <c r="J25" s="9">
        <v>6681.96</v>
      </c>
      <c r="K25" s="16">
        <v>1196</v>
      </c>
      <c r="L25" s="11">
        <f t="shared" ref="L25:L26" si="8">E25</f>
        <v>399.6</v>
      </c>
      <c r="M25" s="6"/>
    </row>
    <row r="26" spans="1:13" x14ac:dyDescent="0.25">
      <c r="A26" s="6" t="s">
        <v>76</v>
      </c>
      <c r="B26" s="7">
        <f t="shared" ca="1" si="5"/>
        <v>124</v>
      </c>
      <c r="C26" s="12">
        <v>4</v>
      </c>
      <c r="D26" s="10">
        <v>99.9</v>
      </c>
      <c r="E26" s="10">
        <f t="shared" si="7"/>
        <v>399.6</v>
      </c>
      <c r="F26" s="7" t="s">
        <v>1184</v>
      </c>
      <c r="G26" s="6" t="s">
        <v>77</v>
      </c>
      <c r="H26" s="7" t="s">
        <v>1188</v>
      </c>
      <c r="I26" s="25" t="s">
        <v>78</v>
      </c>
      <c r="J26" s="9">
        <v>6681.96</v>
      </c>
      <c r="K26" s="16">
        <v>1196</v>
      </c>
      <c r="L26" s="11">
        <f t="shared" si="8"/>
        <v>399.6</v>
      </c>
      <c r="M26" s="6"/>
    </row>
    <row r="27" spans="1:13" x14ac:dyDescent="0.25">
      <c r="A27" s="6" t="s">
        <v>79</v>
      </c>
      <c r="B27" s="7">
        <f t="shared" ref="B27:B29" ca="1" si="9">$I$1-I27</f>
        <v>124</v>
      </c>
      <c r="C27" s="7"/>
      <c r="D27" s="7"/>
      <c r="E27" s="7"/>
      <c r="F27" s="7" t="s">
        <v>1184</v>
      </c>
      <c r="G27" s="6" t="s">
        <v>81</v>
      </c>
      <c r="H27" s="7" t="s">
        <v>1187</v>
      </c>
      <c r="I27" s="25" t="s">
        <v>78</v>
      </c>
      <c r="J27" s="9">
        <v>4611.96</v>
      </c>
      <c r="K27" s="16">
        <v>1196</v>
      </c>
      <c r="L27" s="6"/>
      <c r="M27" s="11">
        <f t="shared" ref="M27:M29" si="10">K27</f>
        <v>1196</v>
      </c>
    </row>
    <row r="28" spans="1:13" x14ac:dyDescent="0.25">
      <c r="A28" s="6" t="s">
        <v>82</v>
      </c>
      <c r="B28" s="7">
        <f t="shared" ca="1" si="9"/>
        <v>117</v>
      </c>
      <c r="C28" s="7"/>
      <c r="D28" s="7"/>
      <c r="E28" s="7"/>
      <c r="F28" s="7" t="s">
        <v>1184</v>
      </c>
      <c r="G28" s="6" t="s">
        <v>83</v>
      </c>
      <c r="H28" s="7" t="s">
        <v>1187</v>
      </c>
      <c r="I28" s="25" t="s">
        <v>15</v>
      </c>
      <c r="J28" s="9">
        <v>6681.96</v>
      </c>
      <c r="K28" s="16">
        <v>1196</v>
      </c>
      <c r="L28" s="6"/>
      <c r="M28" s="11">
        <f t="shared" si="10"/>
        <v>1196</v>
      </c>
    </row>
    <row r="29" spans="1:13" x14ac:dyDescent="0.25">
      <c r="A29" s="6" t="s">
        <v>84</v>
      </c>
      <c r="B29" s="7">
        <f t="shared" ca="1" si="9"/>
        <v>113</v>
      </c>
      <c r="C29" s="7"/>
      <c r="D29" s="7"/>
      <c r="E29" s="7"/>
      <c r="F29" s="7" t="s">
        <v>1184</v>
      </c>
      <c r="G29" s="6" t="s">
        <v>85</v>
      </c>
      <c r="H29" s="7" t="s">
        <v>1187</v>
      </c>
      <c r="I29" s="25" t="s">
        <v>86</v>
      </c>
      <c r="J29" s="9">
        <v>4611.96</v>
      </c>
      <c r="K29" s="16">
        <v>1196</v>
      </c>
      <c r="L29" s="6"/>
      <c r="M29" s="11">
        <f t="shared" si="10"/>
        <v>1196</v>
      </c>
    </row>
    <row r="30" spans="1:13" x14ac:dyDescent="0.25">
      <c r="A30" s="6" t="s">
        <v>87</v>
      </c>
      <c r="B30" s="7">
        <f ca="1">$I$1-I30</f>
        <v>112</v>
      </c>
      <c r="C30" s="12">
        <v>4</v>
      </c>
      <c r="D30" s="10">
        <v>99.9</v>
      </c>
      <c r="E30" s="10">
        <f>D30*C30</f>
        <v>399.6</v>
      </c>
      <c r="F30" s="7" t="s">
        <v>1184</v>
      </c>
      <c r="G30" s="6" t="s">
        <v>88</v>
      </c>
      <c r="H30" s="7" t="s">
        <v>1188</v>
      </c>
      <c r="I30" s="25" t="s">
        <v>69</v>
      </c>
      <c r="J30" s="9">
        <v>6681.96</v>
      </c>
      <c r="K30" s="16">
        <v>1196</v>
      </c>
      <c r="L30" s="11">
        <f>E30</f>
        <v>399.6</v>
      </c>
      <c r="M30" s="6"/>
    </row>
    <row r="31" spans="1:13" x14ac:dyDescent="0.25">
      <c r="A31" s="6" t="s">
        <v>89</v>
      </c>
      <c r="B31" s="7">
        <f t="shared" ref="B31:B32" ca="1" si="11">$I$1-I31</f>
        <v>111</v>
      </c>
      <c r="C31" s="7"/>
      <c r="D31" s="7"/>
      <c r="E31" s="7"/>
      <c r="F31" s="7" t="s">
        <v>1184</v>
      </c>
      <c r="G31" s="6" t="s">
        <v>90</v>
      </c>
      <c r="H31" s="7" t="s">
        <v>1187</v>
      </c>
      <c r="I31" s="25" t="s">
        <v>91</v>
      </c>
      <c r="J31" s="9">
        <v>4611.96</v>
      </c>
      <c r="K31" s="16">
        <v>1196</v>
      </c>
      <c r="L31" s="6"/>
      <c r="M31" s="11">
        <f t="shared" ref="M31:M32" si="12">K31</f>
        <v>1196</v>
      </c>
    </row>
    <row r="32" spans="1:13" x14ac:dyDescent="0.25">
      <c r="A32" s="6" t="s">
        <v>92</v>
      </c>
      <c r="B32" s="7">
        <f t="shared" ca="1" si="11"/>
        <v>107</v>
      </c>
      <c r="C32" s="7"/>
      <c r="D32" s="7"/>
      <c r="E32" s="7"/>
      <c r="F32" s="7" t="s">
        <v>1184</v>
      </c>
      <c r="G32" s="6" t="s">
        <v>94</v>
      </c>
      <c r="H32" s="7" t="s">
        <v>1187</v>
      </c>
      <c r="I32" s="25" t="s">
        <v>93</v>
      </c>
      <c r="J32" s="9">
        <v>4611.96</v>
      </c>
      <c r="K32" s="16">
        <v>1196</v>
      </c>
      <c r="L32" s="6"/>
      <c r="M32" s="11">
        <f t="shared" si="12"/>
        <v>1196</v>
      </c>
    </row>
    <row r="33" spans="1:13" x14ac:dyDescent="0.25">
      <c r="A33" s="6" t="s">
        <v>95</v>
      </c>
      <c r="B33" s="7">
        <f ca="1">$I$1-I33</f>
        <v>106</v>
      </c>
      <c r="C33" s="12">
        <v>4</v>
      </c>
      <c r="D33" s="10">
        <v>99.9</v>
      </c>
      <c r="E33" s="10">
        <f>D33*C33</f>
        <v>399.6</v>
      </c>
      <c r="F33" s="7" t="s">
        <v>1184</v>
      </c>
      <c r="G33" s="6" t="s">
        <v>97</v>
      </c>
      <c r="H33" s="7" t="s">
        <v>1188</v>
      </c>
      <c r="I33" s="25" t="s">
        <v>96</v>
      </c>
      <c r="J33" s="9">
        <v>6681.96</v>
      </c>
      <c r="K33" s="16">
        <v>1196</v>
      </c>
      <c r="L33" s="11">
        <f>E33</f>
        <v>399.6</v>
      </c>
      <c r="M33" s="6"/>
    </row>
    <row r="34" spans="1:13" x14ac:dyDescent="0.25">
      <c r="A34" s="6" t="s">
        <v>98</v>
      </c>
      <c r="B34" s="7">
        <f t="shared" ref="B34:B38" ca="1" si="13">$I$1-I34</f>
        <v>106</v>
      </c>
      <c r="C34" s="7"/>
      <c r="D34" s="7"/>
      <c r="E34" s="7"/>
      <c r="F34" s="7" t="s">
        <v>1184</v>
      </c>
      <c r="G34" s="6" t="s">
        <v>100</v>
      </c>
      <c r="H34" s="7" t="s">
        <v>1187</v>
      </c>
      <c r="I34" s="25" t="s">
        <v>96</v>
      </c>
      <c r="J34" s="9">
        <v>4611.96</v>
      </c>
      <c r="K34" s="16">
        <v>1196</v>
      </c>
      <c r="L34" s="6"/>
      <c r="M34" s="11">
        <f t="shared" ref="M34:M36" si="14">K34</f>
        <v>1196</v>
      </c>
    </row>
    <row r="35" spans="1:13" x14ac:dyDescent="0.25">
      <c r="A35" s="6" t="s">
        <v>102</v>
      </c>
      <c r="B35" s="7">
        <f t="shared" ca="1" si="13"/>
        <v>105</v>
      </c>
      <c r="C35" s="7"/>
      <c r="D35" s="7"/>
      <c r="E35" s="7"/>
      <c r="F35" s="7" t="s">
        <v>1184</v>
      </c>
      <c r="G35" s="6" t="s">
        <v>103</v>
      </c>
      <c r="H35" s="7" t="s">
        <v>1187</v>
      </c>
      <c r="I35" s="25" t="s">
        <v>99</v>
      </c>
      <c r="J35" s="9">
        <v>4611.96</v>
      </c>
      <c r="K35" s="16">
        <v>1196</v>
      </c>
      <c r="L35" s="6"/>
      <c r="M35" s="11">
        <f t="shared" si="14"/>
        <v>1196</v>
      </c>
    </row>
    <row r="36" spans="1:13" x14ac:dyDescent="0.25">
      <c r="A36" s="6" t="s">
        <v>104</v>
      </c>
      <c r="B36" s="7">
        <f t="shared" ca="1" si="13"/>
        <v>105</v>
      </c>
      <c r="C36" s="7"/>
      <c r="D36" s="7"/>
      <c r="E36" s="7"/>
      <c r="F36" s="7" t="s">
        <v>1184</v>
      </c>
      <c r="G36" s="6" t="s">
        <v>105</v>
      </c>
      <c r="H36" s="7" t="s">
        <v>1187</v>
      </c>
      <c r="I36" s="25" t="s">
        <v>99</v>
      </c>
      <c r="J36" s="9">
        <v>4611.96</v>
      </c>
      <c r="K36" s="16">
        <v>1196</v>
      </c>
      <c r="L36" s="6"/>
      <c r="M36" s="11">
        <f t="shared" si="14"/>
        <v>1196</v>
      </c>
    </row>
    <row r="37" spans="1:13" x14ac:dyDescent="0.25">
      <c r="A37" s="6" t="s">
        <v>106</v>
      </c>
      <c r="B37" s="7">
        <f t="shared" ca="1" si="13"/>
        <v>103</v>
      </c>
      <c r="C37" s="12">
        <v>3</v>
      </c>
      <c r="D37" s="10">
        <v>99.9</v>
      </c>
      <c r="E37" s="10">
        <f t="shared" ref="E37:E38" si="15">D37*C37</f>
        <v>299.70000000000005</v>
      </c>
      <c r="F37" s="7" t="s">
        <v>1184</v>
      </c>
      <c r="G37" s="6" t="s">
        <v>108</v>
      </c>
      <c r="H37" s="7" t="s">
        <v>1188</v>
      </c>
      <c r="I37" s="25" t="s">
        <v>101</v>
      </c>
      <c r="J37" s="9">
        <v>6681.96</v>
      </c>
      <c r="K37" s="16">
        <v>1196</v>
      </c>
      <c r="L37" s="11">
        <f t="shared" ref="L37:L38" si="16">E37</f>
        <v>299.70000000000005</v>
      </c>
      <c r="M37" s="6"/>
    </row>
    <row r="38" spans="1:13" x14ac:dyDescent="0.25">
      <c r="A38" s="6" t="s">
        <v>109</v>
      </c>
      <c r="B38" s="7">
        <f t="shared" ca="1" si="13"/>
        <v>103</v>
      </c>
      <c r="C38" s="12">
        <v>3</v>
      </c>
      <c r="D38" s="10">
        <v>99.9</v>
      </c>
      <c r="E38" s="10">
        <f t="shared" si="15"/>
        <v>299.70000000000005</v>
      </c>
      <c r="F38" s="7" t="s">
        <v>1184</v>
      </c>
      <c r="G38" s="6" t="s">
        <v>110</v>
      </c>
      <c r="H38" s="7" t="s">
        <v>1188</v>
      </c>
      <c r="I38" s="25" t="s">
        <v>101</v>
      </c>
      <c r="J38" s="9">
        <v>6681.96</v>
      </c>
      <c r="K38" s="16">
        <v>1196</v>
      </c>
      <c r="L38" s="11">
        <f t="shared" si="16"/>
        <v>299.70000000000005</v>
      </c>
      <c r="M38" s="6"/>
    </row>
    <row r="39" spans="1:13" x14ac:dyDescent="0.25">
      <c r="A39" s="6" t="s">
        <v>111</v>
      </c>
      <c r="B39" s="7">
        <f t="shared" ref="B39:B40" ca="1" si="17">$I$1-I39</f>
        <v>96</v>
      </c>
      <c r="C39" s="7"/>
      <c r="D39" s="7"/>
      <c r="E39" s="7"/>
      <c r="F39" s="7" t="s">
        <v>1184</v>
      </c>
      <c r="G39" s="6" t="s">
        <v>113</v>
      </c>
      <c r="H39" s="7" t="s">
        <v>1187</v>
      </c>
      <c r="I39" s="25" t="s">
        <v>112</v>
      </c>
      <c r="J39" s="9">
        <v>4611.96</v>
      </c>
      <c r="K39" s="16">
        <v>1196</v>
      </c>
      <c r="L39" s="6"/>
      <c r="M39" s="11">
        <f t="shared" ref="M39:M40" si="18">K39</f>
        <v>1196</v>
      </c>
    </row>
    <row r="40" spans="1:13" x14ac:dyDescent="0.25">
      <c r="A40" s="6" t="s">
        <v>114</v>
      </c>
      <c r="B40" s="7">
        <f t="shared" ca="1" si="17"/>
        <v>96</v>
      </c>
      <c r="C40" s="7"/>
      <c r="D40" s="7"/>
      <c r="E40" s="7"/>
      <c r="F40" s="7" t="s">
        <v>1184</v>
      </c>
      <c r="G40" s="6" t="s">
        <v>115</v>
      </c>
      <c r="H40" s="7" t="s">
        <v>13</v>
      </c>
      <c r="I40" s="25" t="s">
        <v>112</v>
      </c>
      <c r="J40" s="9">
        <v>4188</v>
      </c>
      <c r="K40" s="16">
        <v>1196</v>
      </c>
      <c r="L40" s="6"/>
      <c r="M40" s="11">
        <f t="shared" si="18"/>
        <v>1196</v>
      </c>
    </row>
    <row r="41" spans="1:13" x14ac:dyDescent="0.25">
      <c r="A41" s="6" t="s">
        <v>116</v>
      </c>
      <c r="B41" s="7">
        <f ca="1">$I$1-I41</f>
        <v>96</v>
      </c>
      <c r="C41" s="12">
        <v>3</v>
      </c>
      <c r="D41" s="10">
        <v>99.9</v>
      </c>
      <c r="E41" s="10">
        <f>D41*C41</f>
        <v>299.70000000000005</v>
      </c>
      <c r="F41" s="7" t="s">
        <v>1184</v>
      </c>
      <c r="G41" s="6" t="s">
        <v>117</v>
      </c>
      <c r="H41" s="7" t="s">
        <v>1188</v>
      </c>
      <c r="I41" s="25" t="s">
        <v>112</v>
      </c>
      <c r="J41" s="9">
        <v>9082.02</v>
      </c>
      <c r="K41" s="16">
        <v>1196</v>
      </c>
      <c r="L41" s="11">
        <f>E41</f>
        <v>299.70000000000005</v>
      </c>
      <c r="M41" s="6"/>
    </row>
    <row r="42" spans="1:13" x14ac:dyDescent="0.25">
      <c r="A42" s="6" t="s">
        <v>118</v>
      </c>
      <c r="B42" s="7">
        <f ca="1">$I$1-I42</f>
        <v>96</v>
      </c>
      <c r="C42" s="7"/>
      <c r="D42" s="7"/>
      <c r="E42" s="7"/>
      <c r="F42" s="7" t="s">
        <v>1184</v>
      </c>
      <c r="G42" s="6" t="s">
        <v>119</v>
      </c>
      <c r="H42" s="7" t="s">
        <v>1187</v>
      </c>
      <c r="I42" s="25" t="s">
        <v>112</v>
      </c>
      <c r="J42" s="9">
        <v>7011.96</v>
      </c>
      <c r="K42" s="16">
        <v>1196</v>
      </c>
      <c r="L42" s="6"/>
      <c r="M42" s="11">
        <f>K42</f>
        <v>1196</v>
      </c>
    </row>
    <row r="43" spans="1:13" x14ac:dyDescent="0.25">
      <c r="A43" s="6" t="s">
        <v>120</v>
      </c>
      <c r="B43" s="7">
        <f ca="1">$I$1-I43</f>
        <v>96</v>
      </c>
      <c r="C43" s="12">
        <v>3</v>
      </c>
      <c r="D43" s="10">
        <v>99.9</v>
      </c>
      <c r="E43" s="10">
        <f>D43*C43</f>
        <v>299.70000000000005</v>
      </c>
      <c r="F43" s="7" t="s">
        <v>1184</v>
      </c>
      <c r="G43" s="6" t="s">
        <v>121</v>
      </c>
      <c r="H43" s="7" t="s">
        <v>1188</v>
      </c>
      <c r="I43" s="25" t="s">
        <v>112</v>
      </c>
      <c r="J43" s="9">
        <v>9082.02</v>
      </c>
      <c r="K43" s="16">
        <v>1196</v>
      </c>
      <c r="L43" s="11">
        <f>E43</f>
        <v>299.70000000000005</v>
      </c>
      <c r="M43" s="6"/>
    </row>
    <row r="44" spans="1:13" x14ac:dyDescent="0.25">
      <c r="A44" s="6" t="s">
        <v>122</v>
      </c>
      <c r="B44" s="7">
        <f t="shared" ref="B44:B45" ca="1" si="19">$I$1-I44</f>
        <v>96</v>
      </c>
      <c r="C44" s="7"/>
      <c r="D44" s="7"/>
      <c r="E44" s="7"/>
      <c r="F44" s="7" t="s">
        <v>1184</v>
      </c>
      <c r="G44" s="6" t="s">
        <v>123</v>
      </c>
      <c r="H44" s="7" t="s">
        <v>1187</v>
      </c>
      <c r="I44" s="25" t="s">
        <v>112</v>
      </c>
      <c r="J44" s="9">
        <v>4611.96</v>
      </c>
      <c r="K44" s="16">
        <v>1196</v>
      </c>
      <c r="L44" s="6"/>
      <c r="M44" s="11">
        <f t="shared" ref="M44:M45" si="20">K44</f>
        <v>1196</v>
      </c>
    </row>
    <row r="45" spans="1:13" x14ac:dyDescent="0.25">
      <c r="A45" s="6" t="s">
        <v>124</v>
      </c>
      <c r="B45" s="7">
        <f t="shared" ca="1" si="19"/>
        <v>92</v>
      </c>
      <c r="C45" s="7"/>
      <c r="D45" s="7"/>
      <c r="E45" s="7"/>
      <c r="F45" s="7" t="s">
        <v>1184</v>
      </c>
      <c r="G45" s="6" t="s">
        <v>126</v>
      </c>
      <c r="H45" s="7" t="s">
        <v>1187</v>
      </c>
      <c r="I45" s="25" t="s">
        <v>21</v>
      </c>
      <c r="J45" s="9">
        <v>4611.96</v>
      </c>
      <c r="K45" s="16">
        <v>1196</v>
      </c>
      <c r="L45" s="6"/>
      <c r="M45" s="11">
        <f t="shared" si="20"/>
        <v>1196</v>
      </c>
    </row>
    <row r="46" spans="1:13" x14ac:dyDescent="0.25">
      <c r="A46" s="6" t="s">
        <v>127</v>
      </c>
      <c r="B46" s="7">
        <f ca="1">$I$1-I46</f>
        <v>91</v>
      </c>
      <c r="C46" s="12">
        <v>3</v>
      </c>
      <c r="D46" s="10">
        <v>99.9</v>
      </c>
      <c r="E46" s="10">
        <f>D46*C46</f>
        <v>299.70000000000005</v>
      </c>
      <c r="F46" s="7" t="s">
        <v>1184</v>
      </c>
      <c r="G46" s="6" t="s">
        <v>129</v>
      </c>
      <c r="H46" s="7" t="s">
        <v>1188</v>
      </c>
      <c r="I46" s="25" t="s">
        <v>125</v>
      </c>
      <c r="J46" s="9">
        <v>6681.96</v>
      </c>
      <c r="K46" s="16">
        <v>1196</v>
      </c>
      <c r="L46" s="11">
        <f>E46</f>
        <v>299.70000000000005</v>
      </c>
      <c r="M46" s="6"/>
    </row>
    <row r="47" spans="1:13" x14ac:dyDescent="0.25">
      <c r="A47" s="6" t="s">
        <v>130</v>
      </c>
      <c r="B47" s="7">
        <f t="shared" ref="B47:B48" ca="1" si="21">$I$1-I47</f>
        <v>91</v>
      </c>
      <c r="C47" s="7"/>
      <c r="D47" s="7"/>
      <c r="E47" s="7"/>
      <c r="F47" s="7" t="s">
        <v>1184</v>
      </c>
      <c r="G47" s="6" t="s">
        <v>131</v>
      </c>
      <c r="H47" s="7" t="s">
        <v>1187</v>
      </c>
      <c r="I47" s="25" t="s">
        <v>125</v>
      </c>
      <c r="J47" s="9">
        <v>7011.96</v>
      </c>
      <c r="K47" s="16">
        <v>1196</v>
      </c>
      <c r="L47" s="6"/>
      <c r="M47" s="11">
        <f t="shared" ref="M47:M48" si="22">K47</f>
        <v>1196</v>
      </c>
    </row>
    <row r="48" spans="1:13" x14ac:dyDescent="0.25">
      <c r="A48" s="6" t="s">
        <v>132</v>
      </c>
      <c r="B48" s="7">
        <f t="shared" ca="1" si="21"/>
        <v>83</v>
      </c>
      <c r="C48" s="7"/>
      <c r="D48" s="7"/>
      <c r="E48" s="7"/>
      <c r="F48" s="7" t="s">
        <v>1184</v>
      </c>
      <c r="G48" s="6" t="s">
        <v>134</v>
      </c>
      <c r="H48" s="7" t="s">
        <v>1187</v>
      </c>
      <c r="I48" s="25" t="s">
        <v>135</v>
      </c>
      <c r="J48" s="9">
        <v>4611.96</v>
      </c>
      <c r="K48" s="16">
        <v>1196</v>
      </c>
      <c r="L48" s="6"/>
      <c r="M48" s="11">
        <f t="shared" si="22"/>
        <v>1196</v>
      </c>
    </row>
    <row r="49" spans="1:13" x14ac:dyDescent="0.25">
      <c r="A49" s="6" t="s">
        <v>136</v>
      </c>
      <c r="B49" s="7">
        <f ca="1">$I$1-I49</f>
        <v>78</v>
      </c>
      <c r="C49" s="12">
        <v>3</v>
      </c>
      <c r="D49" s="10">
        <v>99.9</v>
      </c>
      <c r="E49" s="10">
        <f>D49*C49</f>
        <v>299.70000000000005</v>
      </c>
      <c r="F49" s="7" t="s">
        <v>1184</v>
      </c>
      <c r="G49" s="6" t="s">
        <v>138</v>
      </c>
      <c r="H49" s="7" t="s">
        <v>1188</v>
      </c>
      <c r="I49" s="25" t="s">
        <v>139</v>
      </c>
      <c r="J49" s="9">
        <v>6681.96</v>
      </c>
      <c r="K49" s="16">
        <v>1196</v>
      </c>
      <c r="L49" s="11">
        <f>E49</f>
        <v>299.70000000000005</v>
      </c>
      <c r="M49" s="6"/>
    </row>
    <row r="50" spans="1:13" x14ac:dyDescent="0.25">
      <c r="A50" s="6" t="s">
        <v>140</v>
      </c>
      <c r="B50" s="7">
        <f t="shared" ref="B50:B56" ca="1" si="23">$I$1-I50</f>
        <v>78</v>
      </c>
      <c r="C50" s="7"/>
      <c r="D50" s="7"/>
      <c r="E50" s="7"/>
      <c r="F50" s="7" t="s">
        <v>1184</v>
      </c>
      <c r="G50" s="6" t="s">
        <v>141</v>
      </c>
      <c r="H50" s="7" t="s">
        <v>1187</v>
      </c>
      <c r="I50" s="25" t="s">
        <v>139</v>
      </c>
      <c r="J50" s="9">
        <v>4611.96</v>
      </c>
      <c r="K50" s="16">
        <v>1196</v>
      </c>
      <c r="L50" s="6"/>
      <c r="M50" s="11">
        <f t="shared" ref="M50:M53" si="24">K50</f>
        <v>1196</v>
      </c>
    </row>
    <row r="51" spans="1:13" x14ac:dyDescent="0.25">
      <c r="A51" s="6" t="s">
        <v>142</v>
      </c>
      <c r="B51" s="7">
        <f t="shared" ca="1" si="23"/>
        <v>78</v>
      </c>
      <c r="C51" s="7"/>
      <c r="D51" s="7"/>
      <c r="E51" s="7"/>
      <c r="F51" s="7" t="s">
        <v>1184</v>
      </c>
      <c r="G51" s="6" t="s">
        <v>143</v>
      </c>
      <c r="H51" s="7" t="s">
        <v>1187</v>
      </c>
      <c r="I51" s="25" t="s">
        <v>139</v>
      </c>
      <c r="J51" s="9">
        <v>7242.42</v>
      </c>
      <c r="K51" s="16">
        <v>1196</v>
      </c>
      <c r="L51" s="6"/>
      <c r="M51" s="11">
        <f t="shared" si="24"/>
        <v>1196</v>
      </c>
    </row>
    <row r="52" spans="1:13" x14ac:dyDescent="0.25">
      <c r="A52" s="6" t="s">
        <v>144</v>
      </c>
      <c r="B52" s="7">
        <f t="shared" ca="1" si="23"/>
        <v>137</v>
      </c>
      <c r="C52" s="7"/>
      <c r="D52" s="7"/>
      <c r="E52" s="7"/>
      <c r="F52" s="7" t="s">
        <v>1183</v>
      </c>
      <c r="G52" s="6" t="s">
        <v>145</v>
      </c>
      <c r="H52" s="7" t="s">
        <v>1187</v>
      </c>
      <c r="I52" s="25" t="s">
        <v>66</v>
      </c>
      <c r="J52" s="9">
        <v>2244</v>
      </c>
      <c r="K52" s="15">
        <v>598</v>
      </c>
      <c r="L52" s="6"/>
      <c r="M52" s="11">
        <f t="shared" si="24"/>
        <v>598</v>
      </c>
    </row>
    <row r="53" spans="1:13" x14ac:dyDescent="0.25">
      <c r="A53" s="6" t="s">
        <v>147</v>
      </c>
      <c r="B53" s="7">
        <f t="shared" ca="1" si="23"/>
        <v>165</v>
      </c>
      <c r="C53" s="7"/>
      <c r="D53" s="7"/>
      <c r="E53" s="7"/>
      <c r="F53" s="7" t="s">
        <v>1183</v>
      </c>
      <c r="G53" s="6" t="s">
        <v>148</v>
      </c>
      <c r="H53" s="7" t="s">
        <v>1187</v>
      </c>
      <c r="I53" s="25" t="s">
        <v>150</v>
      </c>
      <c r="J53" s="9">
        <v>2244</v>
      </c>
      <c r="K53" s="15">
        <v>598</v>
      </c>
      <c r="L53" s="6"/>
      <c r="M53" s="11">
        <f t="shared" si="24"/>
        <v>598</v>
      </c>
    </row>
    <row r="54" spans="1:13" x14ac:dyDescent="0.25">
      <c r="A54" s="6" t="s">
        <v>151</v>
      </c>
      <c r="B54" s="7">
        <f t="shared" ca="1" si="23"/>
        <v>169</v>
      </c>
      <c r="C54" s="12">
        <v>6</v>
      </c>
      <c r="D54" s="10">
        <v>49.9</v>
      </c>
      <c r="E54" s="10">
        <f t="shared" ref="E54:E56" si="25">D54*C54</f>
        <v>299.39999999999998</v>
      </c>
      <c r="F54" s="7" t="s">
        <v>1183</v>
      </c>
      <c r="G54" s="6" t="s">
        <v>152</v>
      </c>
      <c r="H54" s="7" t="s">
        <v>1186</v>
      </c>
      <c r="I54" s="25" t="s">
        <v>153</v>
      </c>
      <c r="J54" s="9">
        <v>2840</v>
      </c>
      <c r="K54" s="15">
        <v>598</v>
      </c>
      <c r="L54" s="11">
        <f t="shared" ref="L54:L56" si="26">E54</f>
        <v>299.39999999999998</v>
      </c>
      <c r="M54" s="6"/>
    </row>
    <row r="55" spans="1:13" x14ac:dyDescent="0.25">
      <c r="A55" s="6" t="s">
        <v>154</v>
      </c>
      <c r="B55" s="7">
        <f t="shared" ca="1" si="23"/>
        <v>152</v>
      </c>
      <c r="C55" s="12">
        <v>5</v>
      </c>
      <c r="D55" s="10">
        <v>49.9</v>
      </c>
      <c r="E55" s="10">
        <f t="shared" si="25"/>
        <v>249.5</v>
      </c>
      <c r="F55" s="7" t="s">
        <v>1183</v>
      </c>
      <c r="G55" s="6" t="s">
        <v>156</v>
      </c>
      <c r="H55" s="7" t="s">
        <v>1188</v>
      </c>
      <c r="I55" s="25" t="s">
        <v>45</v>
      </c>
      <c r="J55" s="9">
        <v>2640</v>
      </c>
      <c r="K55" s="15">
        <v>598</v>
      </c>
      <c r="L55" s="11">
        <f t="shared" si="26"/>
        <v>249.5</v>
      </c>
      <c r="M55" s="6"/>
    </row>
    <row r="56" spans="1:13" x14ac:dyDescent="0.25">
      <c r="A56" s="6" t="s">
        <v>158</v>
      </c>
      <c r="B56" s="7">
        <f t="shared" ca="1" si="23"/>
        <v>139</v>
      </c>
      <c r="C56" s="12">
        <v>5</v>
      </c>
      <c r="D56" s="10">
        <v>49.9</v>
      </c>
      <c r="E56" s="10">
        <f t="shared" si="25"/>
        <v>249.5</v>
      </c>
      <c r="F56" s="7" t="s">
        <v>1183</v>
      </c>
      <c r="G56" s="6" t="s">
        <v>159</v>
      </c>
      <c r="H56" s="7" t="s">
        <v>1186</v>
      </c>
      <c r="I56" s="25" t="s">
        <v>61</v>
      </c>
      <c r="J56" s="9">
        <v>2840</v>
      </c>
      <c r="K56" s="15">
        <v>598</v>
      </c>
      <c r="L56" s="11">
        <f t="shared" si="26"/>
        <v>249.5</v>
      </c>
      <c r="M56" s="6"/>
    </row>
    <row r="57" spans="1:13" x14ac:dyDescent="0.25">
      <c r="A57" s="6" t="s">
        <v>160</v>
      </c>
      <c r="B57" s="7">
        <f ca="1">$I$1-I57</f>
        <v>170</v>
      </c>
      <c r="C57" s="7"/>
      <c r="D57" s="7"/>
      <c r="E57" s="7"/>
      <c r="F57" s="7" t="s">
        <v>1183</v>
      </c>
      <c r="G57" s="6" t="s">
        <v>161</v>
      </c>
      <c r="H57" s="7" t="s">
        <v>13</v>
      </c>
      <c r="I57" s="25" t="s">
        <v>162</v>
      </c>
      <c r="J57" s="9">
        <v>2040</v>
      </c>
      <c r="K57" s="15">
        <v>598</v>
      </c>
      <c r="L57" s="6"/>
      <c r="M57" s="11">
        <f>K57</f>
        <v>598</v>
      </c>
    </row>
    <row r="58" spans="1:13" x14ac:dyDescent="0.25">
      <c r="A58" s="6" t="s">
        <v>163</v>
      </c>
      <c r="B58" s="7">
        <f ca="1">$I$1-I58</f>
        <v>178</v>
      </c>
      <c r="C58" s="12">
        <v>6</v>
      </c>
      <c r="D58" s="10">
        <v>49.9</v>
      </c>
      <c r="E58" s="10">
        <f>D58*C58</f>
        <v>299.39999999999998</v>
      </c>
      <c r="F58" s="7" t="s">
        <v>1183</v>
      </c>
      <c r="G58" s="6" t="s">
        <v>164</v>
      </c>
      <c r="H58" s="7" t="s">
        <v>1188</v>
      </c>
      <c r="I58" s="25" t="s">
        <v>165</v>
      </c>
      <c r="J58" s="9">
        <v>2640</v>
      </c>
      <c r="K58" s="15">
        <v>598</v>
      </c>
      <c r="L58" s="11">
        <f>E58</f>
        <v>299.39999999999998</v>
      </c>
      <c r="M58" s="6"/>
    </row>
    <row r="59" spans="1:13" x14ac:dyDescent="0.25">
      <c r="A59" s="6" t="s">
        <v>166</v>
      </c>
      <c r="B59" s="6"/>
      <c r="C59" s="6"/>
      <c r="D59" s="6"/>
      <c r="E59" s="6"/>
      <c r="F59" s="7" t="s">
        <v>1183</v>
      </c>
      <c r="G59" s="6" t="s">
        <v>167</v>
      </c>
      <c r="H59" s="7" t="s">
        <v>1189</v>
      </c>
      <c r="I59" s="25" t="s">
        <v>162</v>
      </c>
      <c r="J59" s="9">
        <v>2244</v>
      </c>
      <c r="K59" s="15">
        <v>598</v>
      </c>
      <c r="L59" s="6"/>
      <c r="M59" s="11">
        <f>K59</f>
        <v>598</v>
      </c>
    </row>
    <row r="60" spans="1:13" x14ac:dyDescent="0.25">
      <c r="A60" s="6" t="s">
        <v>168</v>
      </c>
      <c r="B60" s="7">
        <f ca="1">$I$1-I60</f>
        <v>178</v>
      </c>
      <c r="C60" s="12">
        <v>6</v>
      </c>
      <c r="D60" s="10">
        <v>49.9</v>
      </c>
      <c r="E60" s="10">
        <f>D60*C60</f>
        <v>299.39999999999998</v>
      </c>
      <c r="F60" s="7" t="s">
        <v>1183</v>
      </c>
      <c r="G60" s="6" t="s">
        <v>169</v>
      </c>
      <c r="H60" s="7" t="s">
        <v>1188</v>
      </c>
      <c r="I60" s="25" t="s">
        <v>165</v>
      </c>
      <c r="J60" s="9">
        <v>2640</v>
      </c>
      <c r="K60" s="15">
        <v>598</v>
      </c>
      <c r="L60" s="11">
        <f>E60</f>
        <v>299.39999999999998</v>
      </c>
      <c r="M60" s="6"/>
    </row>
    <row r="61" spans="1:13" x14ac:dyDescent="0.25">
      <c r="A61" s="6" t="s">
        <v>171</v>
      </c>
      <c r="B61" s="7">
        <f t="shared" ref="B61:B70" ca="1" si="27">$I$1-I61</f>
        <v>178</v>
      </c>
      <c r="C61" s="7"/>
      <c r="D61" s="7"/>
      <c r="E61" s="7"/>
      <c r="F61" s="7" t="s">
        <v>1183</v>
      </c>
      <c r="G61" s="6" t="s">
        <v>172</v>
      </c>
      <c r="H61" s="7" t="s">
        <v>1187</v>
      </c>
      <c r="I61" s="25" t="s">
        <v>165</v>
      </c>
      <c r="J61" s="9">
        <v>2244</v>
      </c>
      <c r="K61" s="15">
        <v>598</v>
      </c>
      <c r="L61" s="6"/>
      <c r="M61" s="11">
        <f t="shared" ref="M61:M62" si="28">K61</f>
        <v>598</v>
      </c>
    </row>
    <row r="62" spans="1:13" x14ac:dyDescent="0.25">
      <c r="A62" s="6" t="s">
        <v>173</v>
      </c>
      <c r="B62" s="7">
        <f t="shared" ca="1" si="27"/>
        <v>173</v>
      </c>
      <c r="C62" s="7"/>
      <c r="D62" s="7"/>
      <c r="E62" s="7"/>
      <c r="F62" s="7" t="s">
        <v>1183</v>
      </c>
      <c r="G62" s="6" t="s">
        <v>174</v>
      </c>
      <c r="H62" s="7" t="s">
        <v>1187</v>
      </c>
      <c r="I62" s="25" t="s">
        <v>175</v>
      </c>
      <c r="J62" s="9">
        <v>2244</v>
      </c>
      <c r="K62" s="15">
        <v>598</v>
      </c>
      <c r="L62" s="6"/>
      <c r="M62" s="11">
        <f t="shared" si="28"/>
        <v>598</v>
      </c>
    </row>
    <row r="63" spans="1:13" x14ac:dyDescent="0.25">
      <c r="A63" s="6" t="s">
        <v>176</v>
      </c>
      <c r="B63" s="7">
        <f t="shared" ca="1" si="27"/>
        <v>141</v>
      </c>
      <c r="C63" s="12">
        <v>5</v>
      </c>
      <c r="D63" s="10">
        <v>49.9</v>
      </c>
      <c r="E63" s="10">
        <f t="shared" ref="E63:E70" si="29">D63*C63</f>
        <v>249.5</v>
      </c>
      <c r="F63" s="7" t="s">
        <v>1183</v>
      </c>
      <c r="G63" s="6" t="s">
        <v>177</v>
      </c>
      <c r="H63" s="7" t="s">
        <v>1186</v>
      </c>
      <c r="I63" s="25" t="s">
        <v>53</v>
      </c>
      <c r="J63" s="9">
        <v>2840</v>
      </c>
      <c r="K63" s="15">
        <v>598</v>
      </c>
      <c r="L63" s="11">
        <f t="shared" ref="L63:L70" si="30">E63</f>
        <v>249.5</v>
      </c>
      <c r="M63" s="6"/>
    </row>
    <row r="64" spans="1:13" x14ac:dyDescent="0.25">
      <c r="A64" s="6" t="s">
        <v>179</v>
      </c>
      <c r="B64" s="7">
        <f t="shared" ca="1" si="27"/>
        <v>137</v>
      </c>
      <c r="C64" s="12">
        <v>5</v>
      </c>
      <c r="D64" s="10">
        <v>49.9</v>
      </c>
      <c r="E64" s="10">
        <f t="shared" si="29"/>
        <v>249.5</v>
      </c>
      <c r="F64" s="7" t="s">
        <v>1183</v>
      </c>
      <c r="G64" s="6" t="s">
        <v>180</v>
      </c>
      <c r="H64" s="7" t="s">
        <v>1186</v>
      </c>
      <c r="I64" s="25" t="s">
        <v>66</v>
      </c>
      <c r="J64" s="9">
        <v>2840</v>
      </c>
      <c r="K64" s="15">
        <v>598</v>
      </c>
      <c r="L64" s="11">
        <f t="shared" si="30"/>
        <v>249.5</v>
      </c>
      <c r="M64" s="6"/>
    </row>
    <row r="65" spans="1:13" x14ac:dyDescent="0.25">
      <c r="A65" s="6" t="s">
        <v>181</v>
      </c>
      <c r="B65" s="7">
        <f t="shared" ca="1" si="27"/>
        <v>150</v>
      </c>
      <c r="C65" s="12">
        <v>5</v>
      </c>
      <c r="D65" s="10">
        <v>49.9</v>
      </c>
      <c r="E65" s="10">
        <f t="shared" si="29"/>
        <v>249.5</v>
      </c>
      <c r="F65" s="7" t="s">
        <v>1183</v>
      </c>
      <c r="G65" s="6" t="s">
        <v>182</v>
      </c>
      <c r="H65" s="7" t="s">
        <v>1188</v>
      </c>
      <c r="I65" s="25" t="s">
        <v>183</v>
      </c>
      <c r="J65" s="9">
        <v>2640</v>
      </c>
      <c r="K65" s="15">
        <v>598</v>
      </c>
      <c r="L65" s="11">
        <f t="shared" si="30"/>
        <v>249.5</v>
      </c>
      <c r="M65" s="6"/>
    </row>
    <row r="66" spans="1:13" x14ac:dyDescent="0.25">
      <c r="A66" s="6" t="s">
        <v>184</v>
      </c>
      <c r="B66" s="7">
        <f t="shared" ca="1" si="27"/>
        <v>87</v>
      </c>
      <c r="C66" s="12">
        <v>3</v>
      </c>
      <c r="D66" s="10">
        <v>49.9</v>
      </c>
      <c r="E66" s="10">
        <f t="shared" si="29"/>
        <v>149.69999999999999</v>
      </c>
      <c r="F66" s="7" t="s">
        <v>1183</v>
      </c>
      <c r="G66" s="6" t="s">
        <v>186</v>
      </c>
      <c r="H66" s="7" t="s">
        <v>1188</v>
      </c>
      <c r="I66" s="25" t="s">
        <v>187</v>
      </c>
      <c r="J66" s="9">
        <v>2640</v>
      </c>
      <c r="K66" s="15">
        <v>598</v>
      </c>
      <c r="L66" s="11">
        <f t="shared" si="30"/>
        <v>149.69999999999999</v>
      </c>
      <c r="M66" s="6"/>
    </row>
    <row r="67" spans="1:13" x14ac:dyDescent="0.25">
      <c r="A67" s="6" t="s">
        <v>188</v>
      </c>
      <c r="B67" s="7">
        <f t="shared" ca="1" si="27"/>
        <v>102</v>
      </c>
      <c r="C67" s="12">
        <v>3</v>
      </c>
      <c r="D67" s="10">
        <v>49.9</v>
      </c>
      <c r="E67" s="10">
        <f t="shared" si="29"/>
        <v>149.69999999999999</v>
      </c>
      <c r="F67" s="7" t="s">
        <v>1183</v>
      </c>
      <c r="G67" s="6" t="s">
        <v>189</v>
      </c>
      <c r="H67" s="7" t="s">
        <v>1188</v>
      </c>
      <c r="I67" s="25" t="s">
        <v>191</v>
      </c>
      <c r="J67" s="9">
        <v>2640</v>
      </c>
      <c r="K67" s="15">
        <v>598</v>
      </c>
      <c r="L67" s="11">
        <f t="shared" si="30"/>
        <v>149.69999999999999</v>
      </c>
      <c r="M67" s="6"/>
    </row>
    <row r="68" spans="1:13" x14ac:dyDescent="0.25">
      <c r="A68" s="6" t="s">
        <v>192</v>
      </c>
      <c r="B68" s="7">
        <f t="shared" ca="1" si="27"/>
        <v>162</v>
      </c>
      <c r="C68" s="12">
        <v>5</v>
      </c>
      <c r="D68" s="10">
        <v>49.9</v>
      </c>
      <c r="E68" s="10">
        <f t="shared" si="29"/>
        <v>249.5</v>
      </c>
      <c r="F68" s="7" t="s">
        <v>1183</v>
      </c>
      <c r="G68" s="6" t="s">
        <v>193</v>
      </c>
      <c r="H68" s="7" t="s">
        <v>1188</v>
      </c>
      <c r="I68" s="25" t="s">
        <v>195</v>
      </c>
      <c r="J68" s="9">
        <v>2640</v>
      </c>
      <c r="K68" s="15">
        <v>598</v>
      </c>
      <c r="L68" s="11">
        <f t="shared" si="30"/>
        <v>249.5</v>
      </c>
      <c r="M68" s="6"/>
    </row>
    <row r="69" spans="1:13" x14ac:dyDescent="0.25">
      <c r="A69" s="6" t="s">
        <v>196</v>
      </c>
      <c r="B69" s="7">
        <f t="shared" ca="1" si="27"/>
        <v>151</v>
      </c>
      <c r="C69" s="12">
        <v>5</v>
      </c>
      <c r="D69" s="10">
        <v>49.9</v>
      </c>
      <c r="E69" s="10">
        <f t="shared" si="29"/>
        <v>249.5</v>
      </c>
      <c r="F69" s="7" t="s">
        <v>1183</v>
      </c>
      <c r="G69" s="6" t="s">
        <v>197</v>
      </c>
      <c r="H69" s="7" t="s">
        <v>1186</v>
      </c>
      <c r="I69" s="25" t="s">
        <v>198</v>
      </c>
      <c r="J69" s="9">
        <v>2840</v>
      </c>
      <c r="K69" s="15">
        <v>598</v>
      </c>
      <c r="L69" s="11">
        <f t="shared" si="30"/>
        <v>249.5</v>
      </c>
      <c r="M69" s="6"/>
    </row>
    <row r="70" spans="1:13" x14ac:dyDescent="0.25">
      <c r="A70" s="6" t="s">
        <v>199</v>
      </c>
      <c r="B70" s="7">
        <f t="shared" ca="1" si="27"/>
        <v>173</v>
      </c>
      <c r="C70" s="12">
        <v>6</v>
      </c>
      <c r="D70" s="10">
        <v>49.9</v>
      </c>
      <c r="E70" s="10">
        <f t="shared" si="29"/>
        <v>299.39999999999998</v>
      </c>
      <c r="F70" s="7" t="s">
        <v>1183</v>
      </c>
      <c r="G70" s="6" t="s">
        <v>200</v>
      </c>
      <c r="H70" s="7" t="s">
        <v>1188</v>
      </c>
      <c r="I70" s="25" t="s">
        <v>175</v>
      </c>
      <c r="J70" s="9">
        <v>2640</v>
      </c>
      <c r="K70" s="15">
        <v>598</v>
      </c>
      <c r="L70" s="11">
        <f t="shared" si="30"/>
        <v>299.39999999999998</v>
      </c>
      <c r="M70" s="6"/>
    </row>
    <row r="71" spans="1:13" x14ac:dyDescent="0.25">
      <c r="A71" s="6" t="s">
        <v>202</v>
      </c>
      <c r="B71" s="7">
        <f ca="1">$I$1-I71</f>
        <v>142</v>
      </c>
      <c r="C71" s="7"/>
      <c r="D71" s="7"/>
      <c r="E71" s="7"/>
      <c r="F71" s="7" t="s">
        <v>1183</v>
      </c>
      <c r="G71" s="6" t="s">
        <v>203</v>
      </c>
      <c r="H71" s="7" t="s">
        <v>13</v>
      </c>
      <c r="I71" s="25" t="s">
        <v>204</v>
      </c>
      <c r="J71" s="9">
        <v>2040</v>
      </c>
      <c r="K71" s="15">
        <v>598</v>
      </c>
      <c r="L71" s="6"/>
      <c r="M71" s="11">
        <f>K71</f>
        <v>598</v>
      </c>
    </row>
    <row r="72" spans="1:13" x14ac:dyDescent="0.25">
      <c r="A72" s="6" t="s">
        <v>205</v>
      </c>
      <c r="B72" s="7">
        <f t="shared" ref="B72:B73" ca="1" si="31">$I$1-I72</f>
        <v>173</v>
      </c>
      <c r="C72" s="12">
        <v>6</v>
      </c>
      <c r="D72" s="10">
        <v>49.9</v>
      </c>
      <c r="E72" s="10">
        <f t="shared" ref="E72:E73" si="32">D72*C72</f>
        <v>299.39999999999998</v>
      </c>
      <c r="F72" s="7" t="s">
        <v>1183</v>
      </c>
      <c r="G72" s="6" t="s">
        <v>206</v>
      </c>
      <c r="H72" s="7" t="s">
        <v>1188</v>
      </c>
      <c r="I72" s="25" t="s">
        <v>175</v>
      </c>
      <c r="J72" s="9">
        <v>2640</v>
      </c>
      <c r="K72" s="15">
        <v>598</v>
      </c>
      <c r="L72" s="11">
        <f t="shared" ref="L72:L73" si="33">E72</f>
        <v>299.39999999999998</v>
      </c>
      <c r="M72" s="6"/>
    </row>
    <row r="73" spans="1:13" x14ac:dyDescent="0.25">
      <c r="A73" s="6" t="s">
        <v>207</v>
      </c>
      <c r="B73" s="7">
        <f t="shared" ca="1" si="31"/>
        <v>143</v>
      </c>
      <c r="C73" s="12">
        <v>5</v>
      </c>
      <c r="D73" s="10">
        <v>49.9</v>
      </c>
      <c r="E73" s="10">
        <f t="shared" si="32"/>
        <v>249.5</v>
      </c>
      <c r="F73" s="7" t="s">
        <v>1183</v>
      </c>
      <c r="G73" s="6" t="s">
        <v>208</v>
      </c>
      <c r="H73" s="7" t="s">
        <v>1186</v>
      </c>
      <c r="I73" s="25" t="s">
        <v>210</v>
      </c>
      <c r="J73" s="9">
        <v>2840</v>
      </c>
      <c r="K73" s="15">
        <v>598</v>
      </c>
      <c r="L73" s="11">
        <f t="shared" si="33"/>
        <v>249.5</v>
      </c>
      <c r="M73" s="6"/>
    </row>
    <row r="74" spans="1:13" x14ac:dyDescent="0.25">
      <c r="A74" s="6" t="s">
        <v>211</v>
      </c>
      <c r="B74" s="7">
        <f t="shared" ref="B74:B79" ca="1" si="34">$I$1-I74</f>
        <v>138</v>
      </c>
      <c r="C74" s="7"/>
      <c r="D74" s="7"/>
      <c r="E74" s="7"/>
      <c r="F74" s="7" t="s">
        <v>1183</v>
      </c>
      <c r="G74" s="6" t="s">
        <v>213</v>
      </c>
      <c r="H74" s="7" t="s">
        <v>1187</v>
      </c>
      <c r="I74" s="25" t="s">
        <v>59</v>
      </c>
      <c r="J74" s="9">
        <v>2244</v>
      </c>
      <c r="K74" s="15">
        <v>598</v>
      </c>
      <c r="L74" s="6"/>
      <c r="M74" s="11">
        <f t="shared" ref="M74:M76" si="35">K74</f>
        <v>598</v>
      </c>
    </row>
    <row r="75" spans="1:13" x14ac:dyDescent="0.25">
      <c r="A75" s="6" t="s">
        <v>214</v>
      </c>
      <c r="B75" s="7">
        <f t="shared" ca="1" si="34"/>
        <v>165</v>
      </c>
      <c r="C75" s="7"/>
      <c r="D75" s="7"/>
      <c r="E75" s="7"/>
      <c r="F75" s="7" t="s">
        <v>1183</v>
      </c>
      <c r="G75" s="6" t="s">
        <v>215</v>
      </c>
      <c r="H75" s="7" t="s">
        <v>13</v>
      </c>
      <c r="I75" s="25" t="s">
        <v>150</v>
      </c>
      <c r="J75" s="9">
        <v>2040</v>
      </c>
      <c r="K75" s="15">
        <v>598</v>
      </c>
      <c r="L75" s="6"/>
      <c r="M75" s="11">
        <f t="shared" si="35"/>
        <v>598</v>
      </c>
    </row>
    <row r="76" spans="1:13" x14ac:dyDescent="0.25">
      <c r="A76" s="6" t="s">
        <v>216</v>
      </c>
      <c r="B76" s="7">
        <f t="shared" ca="1" si="34"/>
        <v>166</v>
      </c>
      <c r="C76" s="7"/>
      <c r="D76" s="7"/>
      <c r="E76" s="7"/>
      <c r="F76" s="7" t="s">
        <v>1183</v>
      </c>
      <c r="G76" s="6" t="s">
        <v>217</v>
      </c>
      <c r="H76" s="7" t="s">
        <v>13</v>
      </c>
      <c r="I76" s="25" t="s">
        <v>32</v>
      </c>
      <c r="J76" s="9">
        <v>2040</v>
      </c>
      <c r="K76" s="15">
        <v>598</v>
      </c>
      <c r="L76" s="6"/>
      <c r="M76" s="11">
        <f t="shared" si="35"/>
        <v>598</v>
      </c>
    </row>
    <row r="77" spans="1:13" x14ac:dyDescent="0.25">
      <c r="A77" s="6" t="s">
        <v>218</v>
      </c>
      <c r="B77" s="7">
        <f t="shared" ca="1" si="34"/>
        <v>132</v>
      </c>
      <c r="C77" s="12">
        <v>4</v>
      </c>
      <c r="D77" s="10">
        <v>49.9</v>
      </c>
      <c r="E77" s="10">
        <f t="shared" ref="E77:E79" si="36">D77*C77</f>
        <v>199.6</v>
      </c>
      <c r="F77" s="7" t="s">
        <v>1183</v>
      </c>
      <c r="G77" s="6" t="s">
        <v>219</v>
      </c>
      <c r="H77" s="7" t="s">
        <v>1188</v>
      </c>
      <c r="I77" s="25" t="s">
        <v>8</v>
      </c>
      <c r="J77" s="9">
        <v>2640</v>
      </c>
      <c r="K77" s="15">
        <v>598</v>
      </c>
      <c r="L77" s="11">
        <f t="shared" ref="L77:L79" si="37">E77</f>
        <v>199.6</v>
      </c>
      <c r="M77" s="6"/>
    </row>
    <row r="78" spans="1:13" x14ac:dyDescent="0.25">
      <c r="A78" s="6" t="s">
        <v>220</v>
      </c>
      <c r="B78" s="7">
        <f t="shared" ca="1" si="34"/>
        <v>151</v>
      </c>
      <c r="C78" s="12">
        <v>5</v>
      </c>
      <c r="D78" s="10">
        <v>49.9</v>
      </c>
      <c r="E78" s="10">
        <f t="shared" si="36"/>
        <v>249.5</v>
      </c>
      <c r="F78" s="7" t="s">
        <v>1183</v>
      </c>
      <c r="G78" s="6" t="s">
        <v>221</v>
      </c>
      <c r="H78" s="7" t="s">
        <v>1188</v>
      </c>
      <c r="I78" s="25" t="s">
        <v>198</v>
      </c>
      <c r="J78" s="9">
        <v>2640</v>
      </c>
      <c r="K78" s="15">
        <v>598</v>
      </c>
      <c r="L78" s="11">
        <f t="shared" si="37"/>
        <v>249.5</v>
      </c>
      <c r="M78" s="6"/>
    </row>
    <row r="79" spans="1:13" x14ac:dyDescent="0.25">
      <c r="A79" s="6" t="s">
        <v>222</v>
      </c>
      <c r="B79" s="7">
        <f t="shared" ca="1" si="34"/>
        <v>132</v>
      </c>
      <c r="C79" s="12">
        <v>4</v>
      </c>
      <c r="D79" s="10">
        <v>49.9</v>
      </c>
      <c r="E79" s="10">
        <f t="shared" si="36"/>
        <v>199.6</v>
      </c>
      <c r="F79" s="7" t="s">
        <v>1183</v>
      </c>
      <c r="G79" s="6" t="s">
        <v>223</v>
      </c>
      <c r="H79" s="7" t="s">
        <v>1186</v>
      </c>
      <c r="I79" s="25" t="s">
        <v>8</v>
      </c>
      <c r="J79" s="9">
        <v>2840</v>
      </c>
      <c r="K79" s="15">
        <v>598</v>
      </c>
      <c r="L79" s="11">
        <f t="shared" si="37"/>
        <v>199.6</v>
      </c>
      <c r="M79" s="6"/>
    </row>
    <row r="80" spans="1:13" x14ac:dyDescent="0.25">
      <c r="A80" s="6" t="s">
        <v>224</v>
      </c>
      <c r="B80" s="7">
        <f ca="1">$I$1-I80</f>
        <v>116</v>
      </c>
      <c r="C80" s="7"/>
      <c r="D80" s="7"/>
      <c r="E80" s="7"/>
      <c r="F80" s="7" t="s">
        <v>1183</v>
      </c>
      <c r="G80" s="6" t="s">
        <v>225</v>
      </c>
      <c r="H80" s="7" t="s">
        <v>13</v>
      </c>
      <c r="I80" s="25" t="s">
        <v>226</v>
      </c>
      <c r="J80" s="9">
        <v>2040</v>
      </c>
      <c r="K80" s="15">
        <v>598</v>
      </c>
      <c r="L80" s="6"/>
      <c r="M80" s="11">
        <f>K80</f>
        <v>598</v>
      </c>
    </row>
    <row r="81" spans="1:13" x14ac:dyDescent="0.25">
      <c r="A81" s="6" t="s">
        <v>227</v>
      </c>
      <c r="B81" s="7">
        <f ca="1">$I$1-I81</f>
        <v>164</v>
      </c>
      <c r="C81" s="12">
        <v>5</v>
      </c>
      <c r="D81" s="10">
        <v>49.9</v>
      </c>
      <c r="E81" s="10">
        <f>D81*C81</f>
        <v>249.5</v>
      </c>
      <c r="F81" s="7" t="s">
        <v>1183</v>
      </c>
      <c r="G81" s="6" t="s">
        <v>228</v>
      </c>
      <c r="H81" s="7" t="s">
        <v>1188</v>
      </c>
      <c r="I81" s="25" t="s">
        <v>230</v>
      </c>
      <c r="J81" s="9">
        <v>2640</v>
      </c>
      <c r="K81" s="15">
        <v>598</v>
      </c>
      <c r="L81" s="11">
        <f>E81</f>
        <v>249.5</v>
      </c>
      <c r="M81" s="6"/>
    </row>
    <row r="82" spans="1:13" x14ac:dyDescent="0.25">
      <c r="A82" s="6" t="s">
        <v>231</v>
      </c>
      <c r="B82" s="7">
        <f ca="1">$I$1-I82</f>
        <v>158</v>
      </c>
      <c r="C82" s="7"/>
      <c r="D82" s="7"/>
      <c r="E82" s="7"/>
      <c r="F82" s="7" t="s">
        <v>1183</v>
      </c>
      <c r="G82" s="6" t="s">
        <v>232</v>
      </c>
      <c r="H82" s="7" t="s">
        <v>1187</v>
      </c>
      <c r="I82" s="25" t="s">
        <v>233</v>
      </c>
      <c r="J82" s="9">
        <v>2244</v>
      </c>
      <c r="K82" s="15">
        <v>598</v>
      </c>
      <c r="L82" s="6"/>
      <c r="M82" s="11">
        <f>K82</f>
        <v>598</v>
      </c>
    </row>
    <row r="83" spans="1:13" x14ac:dyDescent="0.25">
      <c r="A83" s="6" t="s">
        <v>234</v>
      </c>
      <c r="B83" s="7">
        <f t="shared" ref="B83:B86" ca="1" si="38">$I$1-I83</f>
        <v>107</v>
      </c>
      <c r="C83" s="12">
        <v>4</v>
      </c>
      <c r="D83" s="10">
        <v>49.9</v>
      </c>
      <c r="E83" s="10">
        <f t="shared" ref="E83:E86" si="39">D83*C83</f>
        <v>199.6</v>
      </c>
      <c r="F83" s="7" t="s">
        <v>1183</v>
      </c>
      <c r="G83" s="6" t="s">
        <v>236</v>
      </c>
      <c r="H83" s="7" t="s">
        <v>1186</v>
      </c>
      <c r="I83" s="25" t="s">
        <v>93</v>
      </c>
      <c r="J83" s="9">
        <v>2840</v>
      </c>
      <c r="K83" s="15">
        <v>598</v>
      </c>
      <c r="L83" s="11">
        <f t="shared" ref="L83:L86" si="40">E83</f>
        <v>199.6</v>
      </c>
      <c r="M83" s="6"/>
    </row>
    <row r="84" spans="1:13" x14ac:dyDescent="0.25">
      <c r="A84" s="6" t="s">
        <v>238</v>
      </c>
      <c r="B84" s="7">
        <f t="shared" ca="1" si="38"/>
        <v>152</v>
      </c>
      <c r="C84" s="12">
        <v>5</v>
      </c>
      <c r="D84" s="10">
        <v>49.9</v>
      </c>
      <c r="E84" s="10">
        <f t="shared" si="39"/>
        <v>249.5</v>
      </c>
      <c r="F84" s="7" t="s">
        <v>1183</v>
      </c>
      <c r="G84" s="6" t="s">
        <v>239</v>
      </c>
      <c r="H84" s="7" t="s">
        <v>1188</v>
      </c>
      <c r="I84" s="25" t="s">
        <v>45</v>
      </c>
      <c r="J84" s="9">
        <v>5244</v>
      </c>
      <c r="K84" s="15">
        <v>598</v>
      </c>
      <c r="L84" s="11">
        <f t="shared" si="40"/>
        <v>249.5</v>
      </c>
      <c r="M84" s="6"/>
    </row>
    <row r="85" spans="1:13" x14ac:dyDescent="0.25">
      <c r="A85" s="6" t="s">
        <v>240</v>
      </c>
      <c r="B85" s="7">
        <f t="shared" ca="1" si="38"/>
        <v>139</v>
      </c>
      <c r="C85" s="12">
        <v>5</v>
      </c>
      <c r="D85" s="10">
        <v>49.9</v>
      </c>
      <c r="E85" s="10">
        <f t="shared" si="39"/>
        <v>249.5</v>
      </c>
      <c r="F85" s="7" t="s">
        <v>1183</v>
      </c>
      <c r="G85" s="6" t="s">
        <v>241</v>
      </c>
      <c r="H85" s="7" t="s">
        <v>1188</v>
      </c>
      <c r="I85" s="25" t="s">
        <v>61</v>
      </c>
      <c r="J85" s="9">
        <v>2640</v>
      </c>
      <c r="K85" s="15">
        <v>598</v>
      </c>
      <c r="L85" s="11">
        <f t="shared" si="40"/>
        <v>249.5</v>
      </c>
      <c r="M85" s="6"/>
    </row>
    <row r="86" spans="1:13" x14ac:dyDescent="0.25">
      <c r="A86" s="6" t="s">
        <v>242</v>
      </c>
      <c r="B86" s="7">
        <f t="shared" ca="1" si="38"/>
        <v>111</v>
      </c>
      <c r="C86" s="12">
        <v>4</v>
      </c>
      <c r="D86" s="10">
        <v>49.9</v>
      </c>
      <c r="E86" s="10">
        <f t="shared" si="39"/>
        <v>199.6</v>
      </c>
      <c r="F86" s="7" t="s">
        <v>1183</v>
      </c>
      <c r="G86" s="6" t="s">
        <v>243</v>
      </c>
      <c r="H86" s="7" t="s">
        <v>1186</v>
      </c>
      <c r="I86" s="25" t="s">
        <v>91</v>
      </c>
      <c r="J86" s="9">
        <v>2840</v>
      </c>
      <c r="K86" s="15">
        <v>598</v>
      </c>
      <c r="L86" s="11">
        <f t="shared" si="40"/>
        <v>199.6</v>
      </c>
      <c r="M86" s="6"/>
    </row>
    <row r="87" spans="1:13" x14ac:dyDescent="0.25">
      <c r="A87" s="6" t="s">
        <v>244</v>
      </c>
      <c r="B87" s="7">
        <f ca="1">$I$1-I87</f>
        <v>89</v>
      </c>
      <c r="C87" s="7"/>
      <c r="D87" s="7"/>
      <c r="E87" s="7"/>
      <c r="F87" s="7" t="s">
        <v>1183</v>
      </c>
      <c r="G87" s="6" t="s">
        <v>245</v>
      </c>
      <c r="H87" s="7" t="s">
        <v>1187</v>
      </c>
      <c r="I87" s="25" t="s">
        <v>247</v>
      </c>
      <c r="J87" s="9">
        <v>2244</v>
      </c>
      <c r="K87" s="15">
        <v>598</v>
      </c>
      <c r="L87" s="6"/>
      <c r="M87" s="11">
        <f>K87</f>
        <v>598</v>
      </c>
    </row>
    <row r="88" spans="1:13" x14ac:dyDescent="0.25">
      <c r="A88" s="6" t="s">
        <v>248</v>
      </c>
      <c r="B88" s="7">
        <f t="shared" ref="B88:B94" ca="1" si="41">$I$1-I88</f>
        <v>154</v>
      </c>
      <c r="C88" s="12">
        <v>5</v>
      </c>
      <c r="D88" s="10">
        <v>49.9</v>
      </c>
      <c r="E88" s="10">
        <f t="shared" ref="E88:E94" si="42">D88*C88</f>
        <v>249.5</v>
      </c>
      <c r="F88" s="7" t="s">
        <v>1183</v>
      </c>
      <c r="G88" s="6" t="s">
        <v>249</v>
      </c>
      <c r="H88" s="7" t="s">
        <v>1186</v>
      </c>
      <c r="I88" s="25" t="s">
        <v>250</v>
      </c>
      <c r="J88" s="9">
        <v>2840</v>
      </c>
      <c r="K88" s="15">
        <v>598</v>
      </c>
      <c r="L88" s="11">
        <f t="shared" ref="L88:L94" si="43">E88</f>
        <v>249.5</v>
      </c>
      <c r="M88" s="6"/>
    </row>
    <row r="89" spans="1:13" x14ac:dyDescent="0.25">
      <c r="A89" s="6" t="s">
        <v>251</v>
      </c>
      <c r="B89" s="7">
        <f t="shared" ca="1" si="41"/>
        <v>133</v>
      </c>
      <c r="C89" s="12">
        <v>4</v>
      </c>
      <c r="D89" s="10">
        <v>49.9</v>
      </c>
      <c r="E89" s="10">
        <f t="shared" si="42"/>
        <v>199.6</v>
      </c>
      <c r="F89" s="7" t="s">
        <v>1183</v>
      </c>
      <c r="G89" s="6" t="s">
        <v>252</v>
      </c>
      <c r="H89" s="7" t="s">
        <v>1188</v>
      </c>
      <c r="I89" s="25" t="s">
        <v>209</v>
      </c>
      <c r="J89" s="9">
        <v>2640</v>
      </c>
      <c r="K89" s="15">
        <v>598</v>
      </c>
      <c r="L89" s="11">
        <f t="shared" si="43"/>
        <v>199.6</v>
      </c>
      <c r="M89" s="6"/>
    </row>
    <row r="90" spans="1:13" x14ac:dyDescent="0.25">
      <c r="A90" s="6" t="s">
        <v>253</v>
      </c>
      <c r="B90" s="7">
        <f t="shared" ca="1" si="41"/>
        <v>142</v>
      </c>
      <c r="C90" s="12">
        <v>5</v>
      </c>
      <c r="D90" s="10">
        <v>49.9</v>
      </c>
      <c r="E90" s="10">
        <f t="shared" si="42"/>
        <v>249.5</v>
      </c>
      <c r="F90" s="7" t="s">
        <v>1183</v>
      </c>
      <c r="G90" s="6" t="s">
        <v>255</v>
      </c>
      <c r="H90" s="7" t="s">
        <v>1188</v>
      </c>
      <c r="I90" s="25" t="s">
        <v>204</v>
      </c>
      <c r="J90" s="9">
        <v>2640</v>
      </c>
      <c r="K90" s="15">
        <v>598</v>
      </c>
      <c r="L90" s="11">
        <f t="shared" si="43"/>
        <v>249.5</v>
      </c>
      <c r="M90" s="6"/>
    </row>
    <row r="91" spans="1:13" x14ac:dyDescent="0.25">
      <c r="A91" s="6" t="s">
        <v>256</v>
      </c>
      <c r="B91" s="7">
        <f t="shared" ca="1" si="41"/>
        <v>143</v>
      </c>
      <c r="C91" s="12">
        <v>5</v>
      </c>
      <c r="D91" s="10">
        <v>49.9</v>
      </c>
      <c r="E91" s="10">
        <f t="shared" si="42"/>
        <v>249.5</v>
      </c>
      <c r="F91" s="7" t="s">
        <v>1183</v>
      </c>
      <c r="G91" s="6" t="s">
        <v>257</v>
      </c>
      <c r="H91" s="7" t="s">
        <v>1186</v>
      </c>
      <c r="I91" s="25" t="s">
        <v>210</v>
      </c>
      <c r="J91" s="9">
        <v>2840</v>
      </c>
      <c r="K91" s="15">
        <v>598</v>
      </c>
      <c r="L91" s="11">
        <f t="shared" si="43"/>
        <v>249.5</v>
      </c>
      <c r="M91" s="6"/>
    </row>
    <row r="92" spans="1:13" x14ac:dyDescent="0.25">
      <c r="A92" s="6" t="s">
        <v>258</v>
      </c>
      <c r="B92" s="7">
        <f t="shared" ca="1" si="41"/>
        <v>122</v>
      </c>
      <c r="C92" s="12">
        <v>4</v>
      </c>
      <c r="D92" s="10">
        <v>49.9</v>
      </c>
      <c r="E92" s="10">
        <f t="shared" si="42"/>
        <v>199.6</v>
      </c>
      <c r="F92" s="7" t="s">
        <v>1183</v>
      </c>
      <c r="G92" s="6" t="s">
        <v>259</v>
      </c>
      <c r="H92" s="7" t="s">
        <v>1186</v>
      </c>
      <c r="I92" s="25" t="s">
        <v>260</v>
      </c>
      <c r="J92" s="9">
        <v>2840</v>
      </c>
      <c r="K92" s="15">
        <v>598</v>
      </c>
      <c r="L92" s="11">
        <f t="shared" si="43"/>
        <v>199.6</v>
      </c>
      <c r="M92" s="6"/>
    </row>
    <row r="93" spans="1:13" x14ac:dyDescent="0.25">
      <c r="A93" s="6" t="s">
        <v>261</v>
      </c>
      <c r="B93" s="7">
        <f t="shared" ca="1" si="41"/>
        <v>137</v>
      </c>
      <c r="C93" s="12">
        <v>5</v>
      </c>
      <c r="D93" s="10">
        <v>49.9</v>
      </c>
      <c r="E93" s="10">
        <f t="shared" si="42"/>
        <v>249.5</v>
      </c>
      <c r="F93" s="7" t="s">
        <v>1183</v>
      </c>
      <c r="G93" s="6" t="s">
        <v>262</v>
      </c>
      <c r="H93" s="7" t="s">
        <v>1188</v>
      </c>
      <c r="I93" s="25" t="s">
        <v>66</v>
      </c>
      <c r="J93" s="9">
        <v>2640</v>
      </c>
      <c r="K93" s="15">
        <v>598</v>
      </c>
      <c r="L93" s="11">
        <f t="shared" si="43"/>
        <v>249.5</v>
      </c>
      <c r="M93" s="6"/>
    </row>
    <row r="94" spans="1:13" x14ac:dyDescent="0.25">
      <c r="A94" s="6" t="s">
        <v>263</v>
      </c>
      <c r="B94" s="7">
        <f t="shared" ca="1" si="41"/>
        <v>139</v>
      </c>
      <c r="C94" s="12">
        <v>5</v>
      </c>
      <c r="D94" s="10">
        <v>49.9</v>
      </c>
      <c r="E94" s="10">
        <f t="shared" si="42"/>
        <v>249.5</v>
      </c>
      <c r="F94" s="7" t="s">
        <v>1183</v>
      </c>
      <c r="G94" s="6" t="s">
        <v>264</v>
      </c>
      <c r="H94" s="7" t="s">
        <v>1188</v>
      </c>
      <c r="I94" s="25" t="s">
        <v>61</v>
      </c>
      <c r="J94" s="9">
        <v>2640</v>
      </c>
      <c r="K94" s="15">
        <v>598</v>
      </c>
      <c r="L94" s="11">
        <f t="shared" si="43"/>
        <v>249.5</v>
      </c>
      <c r="M94" s="6"/>
    </row>
    <row r="95" spans="1:13" x14ac:dyDescent="0.25">
      <c r="A95" s="6" t="s">
        <v>265</v>
      </c>
      <c r="B95" s="7">
        <f ca="1">$I$1-I95</f>
        <v>85</v>
      </c>
      <c r="C95" s="7"/>
      <c r="D95" s="7"/>
      <c r="E95" s="7"/>
      <c r="F95" s="7" t="s">
        <v>1183</v>
      </c>
      <c r="G95" s="6" t="s">
        <v>266</v>
      </c>
      <c r="H95" s="7" t="s">
        <v>1187</v>
      </c>
      <c r="I95" s="25" t="s">
        <v>24</v>
      </c>
      <c r="J95" s="9">
        <v>2244</v>
      </c>
      <c r="K95" s="15">
        <v>598</v>
      </c>
      <c r="L95" s="6"/>
      <c r="M95" s="11">
        <f>K95</f>
        <v>598</v>
      </c>
    </row>
    <row r="96" spans="1:13" x14ac:dyDescent="0.25">
      <c r="A96" s="6" t="s">
        <v>267</v>
      </c>
      <c r="B96" s="7">
        <f ca="1">$I$1-I96</f>
        <v>107</v>
      </c>
      <c r="C96" s="12">
        <v>4</v>
      </c>
      <c r="D96" s="10">
        <v>49.9</v>
      </c>
      <c r="E96" s="10">
        <f>D96*C96</f>
        <v>199.6</v>
      </c>
      <c r="F96" s="7" t="s">
        <v>1183</v>
      </c>
      <c r="G96" s="6" t="s">
        <v>268</v>
      </c>
      <c r="H96" s="7" t="s">
        <v>1188</v>
      </c>
      <c r="I96" s="25" t="s">
        <v>93</v>
      </c>
      <c r="J96" s="9">
        <v>2640</v>
      </c>
      <c r="K96" s="15">
        <v>598</v>
      </c>
      <c r="L96" s="11">
        <f>E96</f>
        <v>199.6</v>
      </c>
      <c r="M96" s="6"/>
    </row>
    <row r="97" spans="1:13" x14ac:dyDescent="0.25">
      <c r="A97" s="6" t="s">
        <v>269</v>
      </c>
      <c r="B97" s="7">
        <f t="shared" ref="B97:B99" ca="1" si="44">$I$1-I97</f>
        <v>114</v>
      </c>
      <c r="C97" s="7"/>
      <c r="D97" s="7"/>
      <c r="E97" s="7"/>
      <c r="F97" s="7" t="s">
        <v>1183</v>
      </c>
      <c r="G97" s="6" t="s">
        <v>270</v>
      </c>
      <c r="H97" s="7" t="s">
        <v>1187</v>
      </c>
      <c r="I97" s="25" t="s">
        <v>10</v>
      </c>
      <c r="J97" s="9">
        <v>2244</v>
      </c>
      <c r="K97" s="15">
        <v>598</v>
      </c>
      <c r="L97" s="6"/>
      <c r="M97" s="11">
        <f t="shared" ref="M97:M99" si="45">K97</f>
        <v>598</v>
      </c>
    </row>
    <row r="98" spans="1:13" x14ac:dyDescent="0.25">
      <c r="A98" s="6" t="s">
        <v>271</v>
      </c>
      <c r="B98" s="7">
        <f t="shared" ca="1" si="44"/>
        <v>115</v>
      </c>
      <c r="C98" s="7"/>
      <c r="D98" s="7"/>
      <c r="E98" s="7"/>
      <c r="F98" s="7" t="s">
        <v>1183</v>
      </c>
      <c r="G98" s="6" t="s">
        <v>272</v>
      </c>
      <c r="H98" s="7" t="s">
        <v>1187</v>
      </c>
      <c r="I98" s="25" t="s">
        <v>273</v>
      </c>
      <c r="J98" s="9">
        <v>2331.2399999999998</v>
      </c>
      <c r="K98" s="15">
        <v>598</v>
      </c>
      <c r="L98" s="6"/>
      <c r="M98" s="11">
        <f t="shared" si="45"/>
        <v>598</v>
      </c>
    </row>
    <row r="99" spans="1:13" x14ac:dyDescent="0.25">
      <c r="A99" s="6" t="s">
        <v>274</v>
      </c>
      <c r="B99" s="7">
        <f t="shared" ca="1" si="44"/>
        <v>103</v>
      </c>
      <c r="C99" s="7"/>
      <c r="D99" s="7"/>
      <c r="E99" s="7"/>
      <c r="F99" s="7" t="s">
        <v>1183</v>
      </c>
      <c r="G99" s="6" t="s">
        <v>275</v>
      </c>
      <c r="H99" s="7" t="s">
        <v>1187</v>
      </c>
      <c r="I99" s="25" t="s">
        <v>101</v>
      </c>
      <c r="J99" s="9">
        <v>2244</v>
      </c>
      <c r="K99" s="15">
        <v>598</v>
      </c>
      <c r="L99" s="6"/>
      <c r="M99" s="11">
        <f t="shared" si="45"/>
        <v>598</v>
      </c>
    </row>
    <row r="100" spans="1:13" x14ac:dyDescent="0.25">
      <c r="A100" s="6" t="s">
        <v>276</v>
      </c>
      <c r="B100" s="6"/>
      <c r="C100" s="6"/>
      <c r="D100" s="6"/>
      <c r="E100" s="6"/>
      <c r="F100" s="7" t="s">
        <v>1183</v>
      </c>
      <c r="G100" s="6" t="s">
        <v>277</v>
      </c>
      <c r="H100" s="7" t="s">
        <v>1189</v>
      </c>
      <c r="I100" s="25" t="s">
        <v>86</v>
      </c>
      <c r="J100" s="9">
        <v>2820</v>
      </c>
      <c r="K100" s="15">
        <v>598</v>
      </c>
      <c r="L100" s="6"/>
      <c r="M100" s="11">
        <f>K100</f>
        <v>598</v>
      </c>
    </row>
    <row r="101" spans="1:13" x14ac:dyDescent="0.25">
      <c r="A101" s="6" t="s">
        <v>278</v>
      </c>
      <c r="B101" s="7">
        <f ca="1">$I$1-I101</f>
        <v>95</v>
      </c>
      <c r="C101" s="12">
        <v>3</v>
      </c>
      <c r="D101" s="10">
        <v>49.9</v>
      </c>
      <c r="E101" s="10">
        <f>D101*C101</f>
        <v>149.69999999999999</v>
      </c>
      <c r="F101" s="7" t="s">
        <v>1183</v>
      </c>
      <c r="G101" s="6" t="s">
        <v>279</v>
      </c>
      <c r="H101" s="7" t="s">
        <v>1186</v>
      </c>
      <c r="I101" s="25" t="s">
        <v>280</v>
      </c>
      <c r="J101" s="9">
        <v>2840</v>
      </c>
      <c r="K101" s="15">
        <v>598</v>
      </c>
      <c r="L101" s="11">
        <f>E101</f>
        <v>149.69999999999999</v>
      </c>
      <c r="M101" s="6"/>
    </row>
    <row r="102" spans="1:13" x14ac:dyDescent="0.25">
      <c r="A102" s="6" t="s">
        <v>281</v>
      </c>
      <c r="B102" s="7">
        <f t="shared" ref="B102:B103" ca="1" si="46">$I$1-I102</f>
        <v>91</v>
      </c>
      <c r="C102" s="7"/>
      <c r="D102" s="7"/>
      <c r="E102" s="7"/>
      <c r="F102" s="7" t="s">
        <v>1183</v>
      </c>
      <c r="G102" s="6" t="s">
        <v>282</v>
      </c>
      <c r="H102" s="7" t="s">
        <v>13</v>
      </c>
      <c r="I102" s="25" t="s">
        <v>125</v>
      </c>
      <c r="J102" s="9">
        <v>2040</v>
      </c>
      <c r="K102" s="15">
        <v>598</v>
      </c>
      <c r="L102" s="6"/>
      <c r="M102" s="11">
        <f t="shared" ref="M102:M103" si="47">K102</f>
        <v>598</v>
      </c>
    </row>
    <row r="103" spans="1:13" x14ac:dyDescent="0.25">
      <c r="A103" s="6" t="s">
        <v>283</v>
      </c>
      <c r="B103" s="7">
        <f t="shared" ca="1" si="46"/>
        <v>146</v>
      </c>
      <c r="C103" s="7"/>
      <c r="D103" s="7"/>
      <c r="E103" s="7"/>
      <c r="F103" s="7" t="s">
        <v>1183</v>
      </c>
      <c r="G103" s="6" t="s">
        <v>285</v>
      </c>
      <c r="H103" s="7" t="s">
        <v>13</v>
      </c>
      <c r="I103" s="25" t="s">
        <v>287</v>
      </c>
      <c r="J103" s="9">
        <v>2040</v>
      </c>
      <c r="K103" s="15">
        <v>598</v>
      </c>
      <c r="L103" s="6"/>
      <c r="M103" s="11">
        <f t="shared" si="47"/>
        <v>598</v>
      </c>
    </row>
    <row r="104" spans="1:13" x14ac:dyDescent="0.25">
      <c r="A104" s="6" t="s">
        <v>288</v>
      </c>
      <c r="B104" s="7">
        <f ca="1">$I$1-I104</f>
        <v>93</v>
      </c>
      <c r="C104" s="12">
        <v>3</v>
      </c>
      <c r="D104" s="10">
        <v>49.9</v>
      </c>
      <c r="E104" s="10">
        <f>D104*C104</f>
        <v>149.69999999999999</v>
      </c>
      <c r="F104" s="7" t="s">
        <v>1183</v>
      </c>
      <c r="G104" s="6" t="s">
        <v>289</v>
      </c>
      <c r="H104" s="7" t="s">
        <v>1186</v>
      </c>
      <c r="I104" s="25" t="s">
        <v>290</v>
      </c>
      <c r="J104" s="9">
        <v>2840</v>
      </c>
      <c r="K104" s="15">
        <v>598</v>
      </c>
      <c r="L104" s="11">
        <f>E104</f>
        <v>149.69999999999999</v>
      </c>
      <c r="M104" s="6"/>
    </row>
    <row r="105" spans="1:13" x14ac:dyDescent="0.25">
      <c r="A105" s="6" t="s">
        <v>291</v>
      </c>
      <c r="B105" s="7">
        <f t="shared" ref="B105:B107" ca="1" si="48">$I$1-I105</f>
        <v>129</v>
      </c>
      <c r="C105" s="7"/>
      <c r="D105" s="7"/>
      <c r="E105" s="7"/>
      <c r="F105" s="7" t="s">
        <v>1183</v>
      </c>
      <c r="G105" s="6" t="s">
        <v>292</v>
      </c>
      <c r="H105" s="7" t="s">
        <v>1187</v>
      </c>
      <c r="I105" s="25" t="s">
        <v>293</v>
      </c>
      <c r="J105" s="9">
        <v>2244</v>
      </c>
      <c r="K105" s="15">
        <v>598</v>
      </c>
      <c r="L105" s="6"/>
      <c r="M105" s="11">
        <f t="shared" ref="M105:M107" si="49">K105</f>
        <v>598</v>
      </c>
    </row>
    <row r="106" spans="1:13" x14ac:dyDescent="0.25">
      <c r="A106" s="6" t="s">
        <v>294</v>
      </c>
      <c r="B106" s="7">
        <f t="shared" ca="1" si="48"/>
        <v>115</v>
      </c>
      <c r="C106" s="7"/>
      <c r="D106" s="7"/>
      <c r="E106" s="7"/>
      <c r="F106" s="7" t="s">
        <v>1183</v>
      </c>
      <c r="G106" s="6" t="s">
        <v>295</v>
      </c>
      <c r="H106" s="7" t="s">
        <v>1187</v>
      </c>
      <c r="I106" s="25" t="s">
        <v>273</v>
      </c>
      <c r="J106" s="9">
        <v>2244</v>
      </c>
      <c r="K106" s="15">
        <v>598</v>
      </c>
      <c r="L106" s="6"/>
      <c r="M106" s="11">
        <f t="shared" si="49"/>
        <v>598</v>
      </c>
    </row>
    <row r="107" spans="1:13" x14ac:dyDescent="0.25">
      <c r="A107" s="6" t="s">
        <v>296</v>
      </c>
      <c r="B107" s="7">
        <f t="shared" ca="1" si="48"/>
        <v>108</v>
      </c>
      <c r="C107" s="7"/>
      <c r="D107" s="7"/>
      <c r="E107" s="7"/>
      <c r="F107" s="7" t="s">
        <v>1183</v>
      </c>
      <c r="G107" s="6" t="s">
        <v>297</v>
      </c>
      <c r="H107" s="7" t="s">
        <v>13</v>
      </c>
      <c r="I107" s="25" t="s">
        <v>298</v>
      </c>
      <c r="J107" s="9">
        <v>2040</v>
      </c>
      <c r="K107" s="15">
        <v>598</v>
      </c>
      <c r="L107" s="6"/>
      <c r="M107" s="11">
        <f t="shared" si="49"/>
        <v>598</v>
      </c>
    </row>
    <row r="108" spans="1:13" x14ac:dyDescent="0.25">
      <c r="A108" s="6" t="s">
        <v>299</v>
      </c>
      <c r="B108" s="7">
        <f ca="1">$I$1-I108</f>
        <v>109</v>
      </c>
      <c r="C108" s="12">
        <v>4</v>
      </c>
      <c r="D108" s="10">
        <v>49.9</v>
      </c>
      <c r="E108" s="10">
        <f>D108*C108</f>
        <v>199.6</v>
      </c>
      <c r="F108" s="7" t="s">
        <v>1183</v>
      </c>
      <c r="G108" s="6" t="s">
        <v>300</v>
      </c>
      <c r="H108" s="7" t="s">
        <v>1186</v>
      </c>
      <c r="I108" s="25" t="s">
        <v>301</v>
      </c>
      <c r="J108" s="9">
        <v>2840</v>
      </c>
      <c r="K108" s="15">
        <v>598</v>
      </c>
      <c r="L108" s="11">
        <f>E108</f>
        <v>199.6</v>
      </c>
      <c r="M108" s="6"/>
    </row>
    <row r="109" spans="1:13" x14ac:dyDescent="0.25">
      <c r="A109" s="6" t="s">
        <v>302</v>
      </c>
      <c r="B109" s="7">
        <f t="shared" ref="B109:B113" ca="1" si="50">$I$1-I109</f>
        <v>96</v>
      </c>
      <c r="C109" s="7"/>
      <c r="D109" s="7"/>
      <c r="E109" s="7"/>
      <c r="F109" s="7" t="s">
        <v>1183</v>
      </c>
      <c r="G109" s="6" t="s">
        <v>303</v>
      </c>
      <c r="H109" s="7" t="s">
        <v>13</v>
      </c>
      <c r="I109" s="25" t="s">
        <v>112</v>
      </c>
      <c r="J109" s="9">
        <v>2040</v>
      </c>
      <c r="K109" s="15">
        <v>598</v>
      </c>
      <c r="L109" s="6"/>
      <c r="M109" s="11">
        <f t="shared" ref="M109:M113" si="51">K109</f>
        <v>598</v>
      </c>
    </row>
    <row r="110" spans="1:13" x14ac:dyDescent="0.25">
      <c r="A110" s="6" t="s">
        <v>305</v>
      </c>
      <c r="B110" s="7">
        <f t="shared" ca="1" si="50"/>
        <v>129</v>
      </c>
      <c r="C110" s="7"/>
      <c r="D110" s="7"/>
      <c r="E110" s="7"/>
      <c r="F110" s="7" t="s">
        <v>1183</v>
      </c>
      <c r="G110" s="6" t="s">
        <v>306</v>
      </c>
      <c r="H110" s="7" t="s">
        <v>1187</v>
      </c>
      <c r="I110" s="25" t="s">
        <v>293</v>
      </c>
      <c r="J110" s="9">
        <v>2244</v>
      </c>
      <c r="K110" s="15">
        <v>598</v>
      </c>
      <c r="L110" s="6"/>
      <c r="M110" s="11">
        <f t="shared" si="51"/>
        <v>598</v>
      </c>
    </row>
    <row r="111" spans="1:13" x14ac:dyDescent="0.25">
      <c r="A111" s="6" t="s">
        <v>307</v>
      </c>
      <c r="B111" s="7">
        <f t="shared" ca="1" si="50"/>
        <v>129</v>
      </c>
      <c r="C111" s="7"/>
      <c r="D111" s="7"/>
      <c r="E111" s="7"/>
      <c r="F111" s="7" t="s">
        <v>1183</v>
      </c>
      <c r="G111" s="6" t="s">
        <v>308</v>
      </c>
      <c r="H111" s="7" t="s">
        <v>1187</v>
      </c>
      <c r="I111" s="25" t="s">
        <v>293</v>
      </c>
      <c r="J111" s="9">
        <v>2244</v>
      </c>
      <c r="K111" s="15">
        <v>598</v>
      </c>
      <c r="L111" s="6"/>
      <c r="M111" s="11">
        <f t="shared" si="51"/>
        <v>598</v>
      </c>
    </row>
    <row r="112" spans="1:13" x14ac:dyDescent="0.25">
      <c r="A112" s="6" t="s">
        <v>309</v>
      </c>
      <c r="B112" s="7">
        <f t="shared" ca="1" si="50"/>
        <v>106</v>
      </c>
      <c r="C112" s="7"/>
      <c r="D112" s="7"/>
      <c r="E112" s="7"/>
      <c r="F112" s="7" t="s">
        <v>1183</v>
      </c>
      <c r="G112" s="6" t="s">
        <v>310</v>
      </c>
      <c r="H112" s="7" t="s">
        <v>1187</v>
      </c>
      <c r="I112" s="25" t="s">
        <v>96</v>
      </c>
      <c r="J112" s="9">
        <v>2244</v>
      </c>
      <c r="K112" s="15">
        <v>598</v>
      </c>
      <c r="L112" s="6"/>
      <c r="M112" s="11">
        <f t="shared" si="51"/>
        <v>598</v>
      </c>
    </row>
    <row r="113" spans="1:13" x14ac:dyDescent="0.25">
      <c r="A113" s="6" t="s">
        <v>311</v>
      </c>
      <c r="B113" s="7">
        <f t="shared" ca="1" si="50"/>
        <v>87</v>
      </c>
      <c r="C113" s="7"/>
      <c r="D113" s="7"/>
      <c r="E113" s="7"/>
      <c r="F113" s="7" t="s">
        <v>1183</v>
      </c>
      <c r="G113" s="6" t="s">
        <v>312</v>
      </c>
      <c r="H113" s="7" t="s">
        <v>13</v>
      </c>
      <c r="I113" s="25" t="s">
        <v>187</v>
      </c>
      <c r="J113" s="9">
        <v>3240</v>
      </c>
      <c r="K113" s="15">
        <v>598</v>
      </c>
      <c r="L113" s="6"/>
      <c r="M113" s="11">
        <f t="shared" si="51"/>
        <v>598</v>
      </c>
    </row>
    <row r="114" spans="1:13" x14ac:dyDescent="0.25">
      <c r="A114" s="6" t="s">
        <v>313</v>
      </c>
      <c r="B114" s="7">
        <f ca="1">$I$1-I114</f>
        <v>139</v>
      </c>
      <c r="C114" s="12">
        <v>5</v>
      </c>
      <c r="D114" s="10">
        <v>49.9</v>
      </c>
      <c r="E114" s="10">
        <f>D114*C114</f>
        <v>249.5</v>
      </c>
      <c r="F114" s="7" t="s">
        <v>1183</v>
      </c>
      <c r="G114" s="6" t="s">
        <v>314</v>
      </c>
      <c r="H114" s="7" t="s">
        <v>1186</v>
      </c>
      <c r="I114" s="25" t="s">
        <v>61</v>
      </c>
      <c r="J114" s="9">
        <v>2840</v>
      </c>
      <c r="K114" s="15">
        <v>598</v>
      </c>
      <c r="L114" s="11">
        <f>E114</f>
        <v>249.5</v>
      </c>
      <c r="M114" s="6"/>
    </row>
    <row r="115" spans="1:13" x14ac:dyDescent="0.25">
      <c r="A115" s="6" t="s">
        <v>315</v>
      </c>
      <c r="B115" s="7">
        <f ca="1">$I$1-I115</f>
        <v>131</v>
      </c>
      <c r="C115" s="7"/>
      <c r="D115" s="7"/>
      <c r="E115" s="7"/>
      <c r="F115" s="7" t="s">
        <v>1183</v>
      </c>
      <c r="G115" s="6" t="s">
        <v>316</v>
      </c>
      <c r="H115" s="7" t="s">
        <v>1187</v>
      </c>
      <c r="I115" s="25" t="s">
        <v>6</v>
      </c>
      <c r="J115" s="9">
        <v>2244</v>
      </c>
      <c r="K115" s="15">
        <v>598</v>
      </c>
      <c r="L115" s="6"/>
      <c r="M115" s="11">
        <f>K115</f>
        <v>598</v>
      </c>
    </row>
    <row r="116" spans="1:13" x14ac:dyDescent="0.25">
      <c r="A116" s="6" t="s">
        <v>317</v>
      </c>
      <c r="B116" s="7">
        <f t="shared" ref="B116:B118" ca="1" si="52">$I$1-I116</f>
        <v>130</v>
      </c>
      <c r="C116" s="12">
        <v>4</v>
      </c>
      <c r="D116" s="10">
        <v>49.9</v>
      </c>
      <c r="E116" s="10">
        <f t="shared" ref="E116:E118" si="53">D116*C116</f>
        <v>199.6</v>
      </c>
      <c r="F116" s="7" t="s">
        <v>1183</v>
      </c>
      <c r="G116" s="6" t="s">
        <v>318</v>
      </c>
      <c r="H116" s="7" t="s">
        <v>1186</v>
      </c>
      <c r="I116" s="25" t="s">
        <v>319</v>
      </c>
      <c r="J116" s="9">
        <v>2840</v>
      </c>
      <c r="K116" s="15">
        <v>598</v>
      </c>
      <c r="L116" s="11">
        <f t="shared" ref="L116:L118" si="54">E116</f>
        <v>199.6</v>
      </c>
      <c r="M116" s="6"/>
    </row>
    <row r="117" spans="1:13" x14ac:dyDescent="0.25">
      <c r="A117" s="6" t="s">
        <v>320</v>
      </c>
      <c r="B117" s="7">
        <f t="shared" ca="1" si="52"/>
        <v>137</v>
      </c>
      <c r="C117" s="12">
        <v>5</v>
      </c>
      <c r="D117" s="10">
        <v>49.9</v>
      </c>
      <c r="E117" s="10">
        <f t="shared" si="53"/>
        <v>249.5</v>
      </c>
      <c r="F117" s="7" t="s">
        <v>1183</v>
      </c>
      <c r="G117" s="6" t="s">
        <v>321</v>
      </c>
      <c r="H117" s="7" t="s">
        <v>1186</v>
      </c>
      <c r="I117" s="25" t="s">
        <v>66</v>
      </c>
      <c r="J117" s="9">
        <v>2840</v>
      </c>
      <c r="K117" s="15">
        <v>598</v>
      </c>
      <c r="L117" s="11">
        <f t="shared" si="54"/>
        <v>249.5</v>
      </c>
      <c r="M117" s="6"/>
    </row>
    <row r="118" spans="1:13" x14ac:dyDescent="0.25">
      <c r="A118" s="6" t="s">
        <v>322</v>
      </c>
      <c r="B118" s="7">
        <f t="shared" ca="1" si="52"/>
        <v>73</v>
      </c>
      <c r="C118" s="12">
        <v>2</v>
      </c>
      <c r="D118" s="10">
        <v>49.9</v>
      </c>
      <c r="E118" s="10">
        <f t="shared" si="53"/>
        <v>99.8</v>
      </c>
      <c r="F118" s="7" t="s">
        <v>1183</v>
      </c>
      <c r="G118" s="6" t="s">
        <v>323</v>
      </c>
      <c r="H118" s="7" t="s">
        <v>1186</v>
      </c>
      <c r="I118" s="25" t="s">
        <v>324</v>
      </c>
      <c r="J118" s="9">
        <v>2840</v>
      </c>
      <c r="K118" s="15">
        <v>598</v>
      </c>
      <c r="L118" s="11">
        <f t="shared" si="54"/>
        <v>99.8</v>
      </c>
      <c r="M118" s="6"/>
    </row>
    <row r="119" spans="1:13" x14ac:dyDescent="0.25">
      <c r="A119" s="6" t="s">
        <v>325</v>
      </c>
      <c r="B119" s="7">
        <f t="shared" ref="B119:B120" ca="1" si="55">$I$1-I119</f>
        <v>100</v>
      </c>
      <c r="C119" s="7"/>
      <c r="D119" s="7"/>
      <c r="E119" s="7"/>
      <c r="F119" s="7" t="s">
        <v>1183</v>
      </c>
      <c r="G119" s="6" t="s">
        <v>326</v>
      </c>
      <c r="H119" s="7" t="s">
        <v>13</v>
      </c>
      <c r="I119" s="25" t="s">
        <v>107</v>
      </c>
      <c r="J119" s="9">
        <v>2040</v>
      </c>
      <c r="K119" s="15">
        <v>598</v>
      </c>
      <c r="L119" s="6"/>
      <c r="M119" s="11">
        <f t="shared" ref="M119:M120" si="56">K119</f>
        <v>598</v>
      </c>
    </row>
    <row r="120" spans="1:13" x14ac:dyDescent="0.25">
      <c r="A120" s="6" t="s">
        <v>327</v>
      </c>
      <c r="B120" s="7">
        <f t="shared" ca="1" si="55"/>
        <v>115</v>
      </c>
      <c r="C120" s="7"/>
      <c r="D120" s="7"/>
      <c r="E120" s="7"/>
      <c r="F120" s="7" t="s">
        <v>1183</v>
      </c>
      <c r="G120" s="6" t="s">
        <v>328</v>
      </c>
      <c r="H120" s="7" t="s">
        <v>13</v>
      </c>
      <c r="I120" s="25" t="s">
        <v>273</v>
      </c>
      <c r="J120" s="9">
        <v>2040</v>
      </c>
      <c r="K120" s="15">
        <v>598</v>
      </c>
      <c r="L120" s="6"/>
      <c r="M120" s="11">
        <f t="shared" si="56"/>
        <v>598</v>
      </c>
    </row>
    <row r="121" spans="1:13" x14ac:dyDescent="0.25">
      <c r="A121" s="6" t="s">
        <v>329</v>
      </c>
      <c r="B121" s="7">
        <f ca="1">$I$1-I121</f>
        <v>131</v>
      </c>
      <c r="C121" s="12">
        <v>4</v>
      </c>
      <c r="D121" s="10">
        <v>49.9</v>
      </c>
      <c r="E121" s="10">
        <f>D121*C121</f>
        <v>199.6</v>
      </c>
      <c r="F121" s="7" t="s">
        <v>1183</v>
      </c>
      <c r="G121" s="6" t="s">
        <v>330</v>
      </c>
      <c r="H121" s="7" t="s">
        <v>1186</v>
      </c>
      <c r="I121" s="25" t="s">
        <v>6</v>
      </c>
      <c r="J121" s="9">
        <v>2840</v>
      </c>
      <c r="K121" s="15">
        <v>598</v>
      </c>
      <c r="L121" s="11">
        <f>E121</f>
        <v>199.6</v>
      </c>
      <c r="M121" s="6"/>
    </row>
    <row r="122" spans="1:13" x14ac:dyDescent="0.25">
      <c r="A122" s="6" t="s">
        <v>331</v>
      </c>
      <c r="B122" s="7">
        <f ca="1">$I$1-I122</f>
        <v>127</v>
      </c>
      <c r="C122" s="7"/>
      <c r="D122" s="7"/>
      <c r="E122" s="7"/>
      <c r="F122" s="7" t="s">
        <v>1183</v>
      </c>
      <c r="G122" s="6" t="s">
        <v>332</v>
      </c>
      <c r="H122" s="7" t="s">
        <v>1187</v>
      </c>
      <c r="I122" s="25" t="s">
        <v>71</v>
      </c>
      <c r="J122" s="9">
        <v>2244</v>
      </c>
      <c r="K122" s="15">
        <v>598</v>
      </c>
      <c r="L122" s="6"/>
      <c r="M122" s="11">
        <f>K122</f>
        <v>598</v>
      </c>
    </row>
    <row r="123" spans="1:13" x14ac:dyDescent="0.25">
      <c r="A123" s="6" t="s">
        <v>333</v>
      </c>
      <c r="B123" s="7">
        <f t="shared" ref="B123:B124" ca="1" si="57">$I$1-I123</f>
        <v>131</v>
      </c>
      <c r="C123" s="12">
        <v>4</v>
      </c>
      <c r="D123" s="10">
        <v>49.9</v>
      </c>
      <c r="E123" s="10">
        <f t="shared" ref="E123:E124" si="58">D123*C123</f>
        <v>199.6</v>
      </c>
      <c r="F123" s="7" t="s">
        <v>1183</v>
      </c>
      <c r="G123" s="6" t="s">
        <v>334</v>
      </c>
      <c r="H123" s="7" t="s">
        <v>1186</v>
      </c>
      <c r="I123" s="25" t="s">
        <v>6</v>
      </c>
      <c r="J123" s="9">
        <v>2840</v>
      </c>
      <c r="K123" s="15">
        <v>598</v>
      </c>
      <c r="L123" s="11">
        <f t="shared" ref="L123:L124" si="59">E123</f>
        <v>199.6</v>
      </c>
      <c r="M123" s="6"/>
    </row>
    <row r="124" spans="1:13" x14ac:dyDescent="0.25">
      <c r="A124" s="6" t="s">
        <v>335</v>
      </c>
      <c r="B124" s="7">
        <f t="shared" ca="1" si="57"/>
        <v>133</v>
      </c>
      <c r="C124" s="12">
        <v>4</v>
      </c>
      <c r="D124" s="10">
        <v>49.9</v>
      </c>
      <c r="E124" s="10">
        <f t="shared" si="58"/>
        <v>199.6</v>
      </c>
      <c r="F124" s="7" t="s">
        <v>1183</v>
      </c>
      <c r="G124" s="6" t="s">
        <v>336</v>
      </c>
      <c r="H124" s="7" t="s">
        <v>1188</v>
      </c>
      <c r="I124" s="25" t="s">
        <v>209</v>
      </c>
      <c r="J124" s="9">
        <v>2640</v>
      </c>
      <c r="K124" s="15">
        <v>598</v>
      </c>
      <c r="L124" s="11">
        <f t="shared" si="59"/>
        <v>199.6</v>
      </c>
      <c r="M124" s="6"/>
    </row>
    <row r="125" spans="1:13" x14ac:dyDescent="0.25">
      <c r="A125" s="6" t="s">
        <v>337</v>
      </c>
      <c r="B125" s="7">
        <f t="shared" ref="B125:B126" ca="1" si="60">$I$1-I125</f>
        <v>134</v>
      </c>
      <c r="C125" s="7"/>
      <c r="D125" s="7"/>
      <c r="E125" s="7"/>
      <c r="F125" s="7" t="s">
        <v>1183</v>
      </c>
      <c r="G125" s="6" t="s">
        <v>338</v>
      </c>
      <c r="H125" s="7" t="s">
        <v>1187</v>
      </c>
      <c r="I125" s="25" t="s">
        <v>339</v>
      </c>
      <c r="J125" s="9">
        <v>2244</v>
      </c>
      <c r="K125" s="15">
        <v>598</v>
      </c>
      <c r="L125" s="6"/>
      <c r="M125" s="11">
        <f t="shared" ref="M125:M126" si="61">K125</f>
        <v>598</v>
      </c>
    </row>
    <row r="126" spans="1:13" x14ac:dyDescent="0.25">
      <c r="A126" s="6" t="s">
        <v>340</v>
      </c>
      <c r="B126" s="7">
        <f t="shared" ca="1" si="60"/>
        <v>136</v>
      </c>
      <c r="C126" s="7"/>
      <c r="D126" s="7"/>
      <c r="E126" s="7"/>
      <c r="F126" s="7" t="s">
        <v>1183</v>
      </c>
      <c r="G126" s="6" t="s">
        <v>341</v>
      </c>
      <c r="H126" s="7" t="s">
        <v>1187</v>
      </c>
      <c r="I126" s="25" t="s">
        <v>342</v>
      </c>
      <c r="J126" s="9">
        <v>2244</v>
      </c>
      <c r="K126" s="15">
        <v>598</v>
      </c>
      <c r="L126" s="6"/>
      <c r="M126" s="11">
        <f t="shared" si="61"/>
        <v>598</v>
      </c>
    </row>
    <row r="127" spans="1:13" x14ac:dyDescent="0.25">
      <c r="A127" s="6" t="s">
        <v>343</v>
      </c>
      <c r="B127" s="7">
        <f ca="1">$I$1-I127</f>
        <v>135</v>
      </c>
      <c r="C127" s="12">
        <v>5</v>
      </c>
      <c r="D127" s="10">
        <v>49.9</v>
      </c>
      <c r="E127" s="10">
        <f>D127*C127</f>
        <v>249.5</v>
      </c>
      <c r="F127" s="7" t="s">
        <v>1183</v>
      </c>
      <c r="G127" s="6" t="s">
        <v>344</v>
      </c>
      <c r="H127" s="7" t="s">
        <v>1186</v>
      </c>
      <c r="I127" s="25" t="s">
        <v>146</v>
      </c>
      <c r="J127" s="9">
        <v>2840</v>
      </c>
      <c r="K127" s="15">
        <v>598</v>
      </c>
      <c r="L127" s="11">
        <f>E127</f>
        <v>249.5</v>
      </c>
      <c r="M127" s="6"/>
    </row>
    <row r="128" spans="1:13" x14ac:dyDescent="0.25">
      <c r="A128" s="6" t="s">
        <v>345</v>
      </c>
      <c r="B128" s="7">
        <f ca="1">$I$1-I128</f>
        <v>95</v>
      </c>
      <c r="C128" s="7"/>
      <c r="D128" s="7"/>
      <c r="E128" s="7"/>
      <c r="F128" s="7" t="s">
        <v>1183</v>
      </c>
      <c r="G128" s="6" t="s">
        <v>346</v>
      </c>
      <c r="H128" s="7" t="s">
        <v>13</v>
      </c>
      <c r="I128" s="25" t="s">
        <v>280</v>
      </c>
      <c r="J128" s="9">
        <v>2040</v>
      </c>
      <c r="K128" s="15">
        <v>598</v>
      </c>
      <c r="L128" s="6"/>
      <c r="M128" s="11">
        <f>K128</f>
        <v>598</v>
      </c>
    </row>
    <row r="129" spans="1:13" x14ac:dyDescent="0.25">
      <c r="A129" s="6" t="s">
        <v>347</v>
      </c>
      <c r="B129" s="7">
        <f t="shared" ref="B129:B130" ca="1" si="62">$I$1-I129</f>
        <v>130</v>
      </c>
      <c r="C129" s="12">
        <v>4</v>
      </c>
      <c r="D129" s="10">
        <v>49.9</v>
      </c>
      <c r="E129" s="10">
        <f t="shared" ref="E129:E130" si="63">D129*C129</f>
        <v>199.6</v>
      </c>
      <c r="F129" s="7" t="s">
        <v>1183</v>
      </c>
      <c r="G129" s="6" t="s">
        <v>348</v>
      </c>
      <c r="H129" s="7" t="s">
        <v>1186</v>
      </c>
      <c r="I129" s="25" t="s">
        <v>319</v>
      </c>
      <c r="J129" s="9">
        <v>2840</v>
      </c>
      <c r="K129" s="15">
        <v>598</v>
      </c>
      <c r="L129" s="11">
        <f t="shared" ref="L129:L130" si="64">E129</f>
        <v>199.6</v>
      </c>
      <c r="M129" s="6"/>
    </row>
    <row r="130" spans="1:13" x14ac:dyDescent="0.25">
      <c r="A130" s="6" t="s">
        <v>349</v>
      </c>
      <c r="B130" s="7">
        <f t="shared" ca="1" si="62"/>
        <v>118</v>
      </c>
      <c r="C130" s="12">
        <v>4</v>
      </c>
      <c r="D130" s="10">
        <v>49.9</v>
      </c>
      <c r="E130" s="10">
        <f t="shared" si="63"/>
        <v>199.6</v>
      </c>
      <c r="F130" s="7" t="s">
        <v>1183</v>
      </c>
      <c r="G130" s="6" t="s">
        <v>350</v>
      </c>
      <c r="H130" s="7" t="s">
        <v>1186</v>
      </c>
      <c r="I130" s="25" t="s">
        <v>178</v>
      </c>
      <c r="J130" s="9">
        <v>2840</v>
      </c>
      <c r="K130" s="15">
        <v>598</v>
      </c>
      <c r="L130" s="11">
        <f t="shared" si="64"/>
        <v>199.6</v>
      </c>
      <c r="M130" s="6"/>
    </row>
    <row r="131" spans="1:13" x14ac:dyDescent="0.25">
      <c r="A131" s="6" t="s">
        <v>351</v>
      </c>
      <c r="B131" s="7">
        <f t="shared" ref="B131:B132" ca="1" si="65">$I$1-I131</f>
        <v>71</v>
      </c>
      <c r="C131" s="7"/>
      <c r="D131" s="7"/>
      <c r="E131" s="7"/>
      <c r="F131" s="7" t="s">
        <v>1183</v>
      </c>
      <c r="G131" s="6" t="s">
        <v>352</v>
      </c>
      <c r="H131" s="7" t="s">
        <v>1187</v>
      </c>
      <c r="I131" s="25" t="s">
        <v>353</v>
      </c>
      <c r="J131" s="9">
        <v>3440</v>
      </c>
      <c r="K131" s="15">
        <v>598</v>
      </c>
      <c r="L131" s="6"/>
      <c r="M131" s="11">
        <f t="shared" ref="M131:M132" si="66">K131</f>
        <v>598</v>
      </c>
    </row>
    <row r="132" spans="1:13" x14ac:dyDescent="0.25">
      <c r="A132" s="6" t="s">
        <v>354</v>
      </c>
      <c r="B132" s="7">
        <f t="shared" ca="1" si="65"/>
        <v>111</v>
      </c>
      <c r="C132" s="7"/>
      <c r="D132" s="7"/>
      <c r="E132" s="7"/>
      <c r="F132" s="7" t="s">
        <v>1183</v>
      </c>
      <c r="G132" s="6" t="s">
        <v>355</v>
      </c>
      <c r="H132" s="7" t="s">
        <v>1187</v>
      </c>
      <c r="I132" s="25" t="s">
        <v>91</v>
      </c>
      <c r="J132" s="9">
        <v>2244</v>
      </c>
      <c r="K132" s="15">
        <v>598</v>
      </c>
      <c r="L132" s="6"/>
      <c r="M132" s="11">
        <f t="shared" si="66"/>
        <v>598</v>
      </c>
    </row>
    <row r="133" spans="1:13" x14ac:dyDescent="0.25">
      <c r="A133" s="6" t="s">
        <v>356</v>
      </c>
      <c r="B133" s="7">
        <f ca="1">$I$1-I133</f>
        <v>126</v>
      </c>
      <c r="C133" s="12">
        <v>4</v>
      </c>
      <c r="D133" s="10">
        <v>49.9</v>
      </c>
      <c r="E133" s="10">
        <f>D133*C133</f>
        <v>199.6</v>
      </c>
      <c r="F133" s="7" t="s">
        <v>1183</v>
      </c>
      <c r="G133" s="6" t="s">
        <v>357</v>
      </c>
      <c r="H133" s="7" t="s">
        <v>1188</v>
      </c>
      <c r="I133" s="25" t="s">
        <v>358</v>
      </c>
      <c r="J133" s="9">
        <v>2640</v>
      </c>
      <c r="K133" s="15">
        <v>598</v>
      </c>
      <c r="L133" s="11">
        <f>E133</f>
        <v>199.6</v>
      </c>
      <c r="M133" s="6"/>
    </row>
    <row r="134" spans="1:13" x14ac:dyDescent="0.25">
      <c r="A134" s="6" t="s">
        <v>359</v>
      </c>
      <c r="B134" s="7">
        <f ca="1">$I$1-I134</f>
        <v>110</v>
      </c>
      <c r="C134" s="7"/>
      <c r="D134" s="7"/>
      <c r="E134" s="7"/>
      <c r="F134" s="7" t="s">
        <v>1183</v>
      </c>
      <c r="G134" s="6" t="s">
        <v>360</v>
      </c>
      <c r="H134" s="7" t="s">
        <v>1187</v>
      </c>
      <c r="I134" s="25" t="s">
        <v>12</v>
      </c>
      <c r="J134" s="9">
        <v>2244</v>
      </c>
      <c r="K134" s="15">
        <v>598</v>
      </c>
      <c r="L134" s="6"/>
      <c r="M134" s="11">
        <f>K134</f>
        <v>598</v>
      </c>
    </row>
    <row r="135" spans="1:13" x14ac:dyDescent="0.25">
      <c r="A135" s="6" t="s">
        <v>361</v>
      </c>
      <c r="B135" s="7">
        <f t="shared" ref="B135:B136" ca="1" si="67">$I$1-I135</f>
        <v>118</v>
      </c>
      <c r="C135" s="12">
        <v>4</v>
      </c>
      <c r="D135" s="10">
        <v>49.9</v>
      </c>
      <c r="E135" s="10">
        <f t="shared" ref="E135:E136" si="68">D135*C135</f>
        <v>199.6</v>
      </c>
      <c r="F135" s="7" t="s">
        <v>1183</v>
      </c>
      <c r="G135" s="6" t="s">
        <v>362</v>
      </c>
      <c r="H135" s="7" t="s">
        <v>1188</v>
      </c>
      <c r="I135" s="25" t="s">
        <v>178</v>
      </c>
      <c r="J135" s="9">
        <v>2640</v>
      </c>
      <c r="K135" s="15">
        <v>598</v>
      </c>
      <c r="L135" s="11">
        <f t="shared" ref="L135:L136" si="69">E135</f>
        <v>199.6</v>
      </c>
      <c r="M135" s="6"/>
    </row>
    <row r="136" spans="1:13" x14ac:dyDescent="0.25">
      <c r="A136" s="6" t="s">
        <v>363</v>
      </c>
      <c r="B136" s="7">
        <f t="shared" ca="1" si="67"/>
        <v>112</v>
      </c>
      <c r="C136" s="12">
        <v>4</v>
      </c>
      <c r="D136" s="10">
        <v>49.9</v>
      </c>
      <c r="E136" s="10">
        <f t="shared" si="68"/>
        <v>199.6</v>
      </c>
      <c r="F136" s="7" t="s">
        <v>1183</v>
      </c>
      <c r="G136" s="6" t="s">
        <v>364</v>
      </c>
      <c r="H136" s="7" t="s">
        <v>1186</v>
      </c>
      <c r="I136" s="25" t="s">
        <v>69</v>
      </c>
      <c r="J136" s="9">
        <v>2840</v>
      </c>
      <c r="K136" s="15">
        <v>598</v>
      </c>
      <c r="L136" s="11">
        <f t="shared" si="69"/>
        <v>199.6</v>
      </c>
      <c r="M136" s="6"/>
    </row>
    <row r="137" spans="1:13" x14ac:dyDescent="0.25">
      <c r="A137" s="6" t="s">
        <v>365</v>
      </c>
      <c r="B137" s="6"/>
      <c r="C137" s="6"/>
      <c r="D137" s="6"/>
      <c r="E137" s="6"/>
      <c r="F137" s="7" t="s">
        <v>1183</v>
      </c>
      <c r="G137" s="6" t="s">
        <v>366</v>
      </c>
      <c r="H137" s="7" t="s">
        <v>1189</v>
      </c>
      <c r="I137" s="25" t="s">
        <v>91</v>
      </c>
      <c r="J137" s="9">
        <v>2040</v>
      </c>
      <c r="K137" s="15">
        <v>598</v>
      </c>
      <c r="L137" s="6"/>
      <c r="M137" s="11">
        <f>K137</f>
        <v>598</v>
      </c>
    </row>
    <row r="138" spans="1:13" x14ac:dyDescent="0.25">
      <c r="A138" s="6" t="s">
        <v>367</v>
      </c>
      <c r="B138" s="7">
        <f ca="1">$I$1-I138</f>
        <v>103</v>
      </c>
      <c r="C138" s="7"/>
      <c r="D138" s="7"/>
      <c r="E138" s="7"/>
      <c r="F138" s="7" t="s">
        <v>1183</v>
      </c>
      <c r="G138" s="6" t="s">
        <v>368</v>
      </c>
      <c r="H138" s="7" t="s">
        <v>1187</v>
      </c>
      <c r="I138" s="25" t="s">
        <v>101</v>
      </c>
      <c r="J138" s="9">
        <v>2244</v>
      </c>
      <c r="K138" s="15">
        <v>598</v>
      </c>
      <c r="L138" s="6"/>
      <c r="M138" s="11">
        <f>K138</f>
        <v>598</v>
      </c>
    </row>
    <row r="139" spans="1:13" x14ac:dyDescent="0.25">
      <c r="A139" s="6" t="s">
        <v>369</v>
      </c>
      <c r="B139" s="7">
        <f ca="1">$I$1-I139</f>
        <v>108</v>
      </c>
      <c r="C139" s="12">
        <v>4</v>
      </c>
      <c r="D139" s="10">
        <v>49.9</v>
      </c>
      <c r="E139" s="10">
        <f>D139*C139</f>
        <v>199.6</v>
      </c>
      <c r="F139" s="7" t="s">
        <v>1183</v>
      </c>
      <c r="G139" s="6" t="s">
        <v>370</v>
      </c>
      <c r="H139" s="7" t="s">
        <v>1186</v>
      </c>
      <c r="I139" s="25" t="s">
        <v>298</v>
      </c>
      <c r="J139" s="9">
        <v>2840</v>
      </c>
      <c r="K139" s="15">
        <v>598</v>
      </c>
      <c r="L139" s="11">
        <f>E139</f>
        <v>199.6</v>
      </c>
      <c r="M139" s="6"/>
    </row>
    <row r="140" spans="1:13" x14ac:dyDescent="0.25">
      <c r="A140" s="6" t="s">
        <v>371</v>
      </c>
      <c r="B140" s="7">
        <f ca="1">$I$1-I140</f>
        <v>109</v>
      </c>
      <c r="C140" s="7"/>
      <c r="D140" s="7"/>
      <c r="E140" s="7"/>
      <c r="F140" s="7" t="s">
        <v>1183</v>
      </c>
      <c r="G140" s="6" t="s">
        <v>372</v>
      </c>
      <c r="H140" s="7" t="s">
        <v>1187</v>
      </c>
      <c r="I140" s="25" t="s">
        <v>301</v>
      </c>
      <c r="J140" s="9">
        <v>2244</v>
      </c>
      <c r="K140" s="15">
        <v>598</v>
      </c>
      <c r="L140" s="6"/>
      <c r="M140" s="11">
        <f>K140</f>
        <v>598</v>
      </c>
    </row>
    <row r="141" spans="1:13" x14ac:dyDescent="0.25">
      <c r="A141" s="6" t="s">
        <v>373</v>
      </c>
      <c r="B141" s="7">
        <f t="shared" ref="B141:B142" ca="1" si="70">$I$1-I141</f>
        <v>99</v>
      </c>
      <c r="C141" s="12">
        <v>3</v>
      </c>
      <c r="D141" s="10">
        <v>49.9</v>
      </c>
      <c r="E141" s="10">
        <f t="shared" ref="E141:E142" si="71">D141*C141</f>
        <v>149.69999999999999</v>
      </c>
      <c r="F141" s="7" t="s">
        <v>1183</v>
      </c>
      <c r="G141" s="6" t="s">
        <v>374</v>
      </c>
      <c r="H141" s="7" t="s">
        <v>1186</v>
      </c>
      <c r="I141" s="25" t="s">
        <v>375</v>
      </c>
      <c r="J141" s="9">
        <v>2485</v>
      </c>
      <c r="K141" s="15">
        <v>598</v>
      </c>
      <c r="L141" s="11">
        <f t="shared" ref="L141:L142" si="72">E141</f>
        <v>149.69999999999999</v>
      </c>
      <c r="M141" s="6"/>
    </row>
    <row r="142" spans="1:13" x14ac:dyDescent="0.25">
      <c r="A142" s="6" t="s">
        <v>376</v>
      </c>
      <c r="B142" s="7">
        <f t="shared" ca="1" si="70"/>
        <v>108</v>
      </c>
      <c r="C142" s="12">
        <v>4</v>
      </c>
      <c r="D142" s="10">
        <v>49.9</v>
      </c>
      <c r="E142" s="10">
        <f t="shared" si="71"/>
        <v>199.6</v>
      </c>
      <c r="F142" s="7" t="s">
        <v>1183</v>
      </c>
      <c r="G142" s="6" t="s">
        <v>377</v>
      </c>
      <c r="H142" s="7" t="s">
        <v>1186</v>
      </c>
      <c r="I142" s="25">
        <v>46012</v>
      </c>
      <c r="J142" s="9">
        <v>2840</v>
      </c>
      <c r="K142" s="15">
        <v>598</v>
      </c>
      <c r="L142" s="11">
        <f t="shared" si="72"/>
        <v>199.6</v>
      </c>
      <c r="M142" s="6"/>
    </row>
    <row r="143" spans="1:13" x14ac:dyDescent="0.25">
      <c r="A143" s="6" t="s">
        <v>378</v>
      </c>
      <c r="B143" s="7">
        <f ca="1">$I$1-I143</f>
        <v>87</v>
      </c>
      <c r="C143" s="7"/>
      <c r="D143" s="7"/>
      <c r="E143" s="7"/>
      <c r="F143" s="7" t="s">
        <v>1183</v>
      </c>
      <c r="G143" s="6" t="s">
        <v>379</v>
      </c>
      <c r="H143" s="7" t="s">
        <v>1187</v>
      </c>
      <c r="I143" s="25" t="s">
        <v>187</v>
      </c>
      <c r="J143" s="9">
        <v>3444</v>
      </c>
      <c r="K143" s="15">
        <v>598</v>
      </c>
      <c r="L143" s="6"/>
      <c r="M143" s="11">
        <f>K143</f>
        <v>598</v>
      </c>
    </row>
    <row r="144" spans="1:13" x14ac:dyDescent="0.25">
      <c r="A144" s="6" t="s">
        <v>380</v>
      </c>
      <c r="B144" s="7">
        <f t="shared" ref="B144:B145" ca="1" si="73">$I$1-I144</f>
        <v>123</v>
      </c>
      <c r="C144" s="12">
        <v>4</v>
      </c>
      <c r="D144" s="10">
        <v>49.9</v>
      </c>
      <c r="E144" s="10">
        <f t="shared" ref="E144:E145" si="74">D144*C144</f>
        <v>199.6</v>
      </c>
      <c r="F144" s="7" t="s">
        <v>1183</v>
      </c>
      <c r="G144" s="6" t="s">
        <v>381</v>
      </c>
      <c r="H144" s="7" t="s">
        <v>1188</v>
      </c>
      <c r="I144" s="25" t="s">
        <v>382</v>
      </c>
      <c r="J144" s="9">
        <v>2310</v>
      </c>
      <c r="K144" s="15">
        <v>598</v>
      </c>
      <c r="L144" s="11">
        <f t="shared" ref="L144:L145" si="75">E144</f>
        <v>199.6</v>
      </c>
      <c r="M144" s="6"/>
    </row>
    <row r="145" spans="1:13" x14ac:dyDescent="0.25">
      <c r="A145" s="6" t="s">
        <v>383</v>
      </c>
      <c r="B145" s="7">
        <f t="shared" ca="1" si="73"/>
        <v>103</v>
      </c>
      <c r="C145" s="12">
        <v>3</v>
      </c>
      <c r="D145" s="10">
        <v>49.9</v>
      </c>
      <c r="E145" s="10">
        <f t="shared" si="74"/>
        <v>149.69999999999999</v>
      </c>
      <c r="F145" s="7" t="s">
        <v>1183</v>
      </c>
      <c r="G145" s="6" t="s">
        <v>384</v>
      </c>
      <c r="H145" s="7" t="s">
        <v>1188</v>
      </c>
      <c r="I145" s="25" t="s">
        <v>101</v>
      </c>
      <c r="J145" s="9">
        <v>2640</v>
      </c>
      <c r="K145" s="15">
        <v>598</v>
      </c>
      <c r="L145" s="11">
        <f t="shared" si="75"/>
        <v>149.69999999999999</v>
      </c>
      <c r="M145" s="6"/>
    </row>
    <row r="146" spans="1:13" x14ac:dyDescent="0.25">
      <c r="A146" s="6" t="s">
        <v>385</v>
      </c>
      <c r="B146" s="7">
        <f t="shared" ref="B146:B148" ca="1" si="76">$I$1-I146</f>
        <v>105</v>
      </c>
      <c r="C146" s="7"/>
      <c r="D146" s="7"/>
      <c r="E146" s="7"/>
      <c r="F146" s="7" t="s">
        <v>1183</v>
      </c>
      <c r="G146" s="6" t="s">
        <v>386</v>
      </c>
      <c r="H146" s="7" t="s">
        <v>1187</v>
      </c>
      <c r="I146" s="25" t="s">
        <v>99</v>
      </c>
      <c r="J146" s="9">
        <v>2244</v>
      </c>
      <c r="K146" s="15">
        <v>598</v>
      </c>
      <c r="L146" s="6"/>
      <c r="M146" s="11">
        <f t="shared" ref="M146:M148" si="77">K146</f>
        <v>598</v>
      </c>
    </row>
    <row r="147" spans="1:13" x14ac:dyDescent="0.25">
      <c r="A147" s="6" t="s">
        <v>387</v>
      </c>
      <c r="B147" s="7">
        <f t="shared" ca="1" si="76"/>
        <v>103</v>
      </c>
      <c r="C147" s="7"/>
      <c r="D147" s="7"/>
      <c r="E147" s="7"/>
      <c r="F147" s="7" t="s">
        <v>1183</v>
      </c>
      <c r="G147" s="6" t="s">
        <v>388</v>
      </c>
      <c r="H147" s="7" t="s">
        <v>13</v>
      </c>
      <c r="I147" s="25" t="s">
        <v>101</v>
      </c>
      <c r="J147" s="9">
        <v>2040</v>
      </c>
      <c r="K147" s="15">
        <v>598</v>
      </c>
      <c r="L147" s="6"/>
      <c r="M147" s="11">
        <f t="shared" si="77"/>
        <v>598</v>
      </c>
    </row>
    <row r="148" spans="1:13" x14ac:dyDescent="0.25">
      <c r="A148" s="6" t="s">
        <v>389</v>
      </c>
      <c r="B148" s="7">
        <f t="shared" ca="1" si="76"/>
        <v>122</v>
      </c>
      <c r="C148" s="7"/>
      <c r="D148" s="7"/>
      <c r="E148" s="7"/>
      <c r="F148" s="7" t="s">
        <v>1183</v>
      </c>
      <c r="G148" s="6" t="s">
        <v>390</v>
      </c>
      <c r="H148" s="7" t="s">
        <v>1187</v>
      </c>
      <c r="I148" s="25" t="s">
        <v>260</v>
      </c>
      <c r="J148" s="9">
        <v>2040</v>
      </c>
      <c r="K148" s="15">
        <v>598</v>
      </c>
      <c r="L148" s="6"/>
      <c r="M148" s="11">
        <f t="shared" si="77"/>
        <v>598</v>
      </c>
    </row>
    <row r="149" spans="1:13" x14ac:dyDescent="0.25">
      <c r="A149" s="6" t="s">
        <v>391</v>
      </c>
      <c r="B149" s="7">
        <f ca="1">$I$1-I149</f>
        <v>96</v>
      </c>
      <c r="C149" s="12">
        <v>3</v>
      </c>
      <c r="D149" s="10">
        <v>49.9</v>
      </c>
      <c r="E149" s="10">
        <f>D149*C149</f>
        <v>149.69999999999999</v>
      </c>
      <c r="F149" s="7" t="s">
        <v>1183</v>
      </c>
      <c r="G149" s="6" t="s">
        <v>392</v>
      </c>
      <c r="H149" s="7" t="s">
        <v>1188</v>
      </c>
      <c r="I149" s="25" t="s">
        <v>112</v>
      </c>
      <c r="J149" s="9">
        <v>2363.9699999999998</v>
      </c>
      <c r="K149" s="15">
        <v>598</v>
      </c>
      <c r="L149" s="11">
        <f>E149</f>
        <v>149.69999999999999</v>
      </c>
      <c r="M149" s="6"/>
    </row>
    <row r="150" spans="1:13" x14ac:dyDescent="0.25">
      <c r="A150" s="6" t="s">
        <v>393</v>
      </c>
      <c r="B150" s="6"/>
      <c r="C150" s="6"/>
      <c r="D150" s="6"/>
      <c r="E150" s="6"/>
      <c r="F150" s="7" t="s">
        <v>1183</v>
      </c>
      <c r="G150" s="6" t="s">
        <v>394</v>
      </c>
      <c r="H150" s="7" t="s">
        <v>1189</v>
      </c>
      <c r="I150" s="25" t="s">
        <v>395</v>
      </c>
      <c r="J150" s="9">
        <v>2640</v>
      </c>
      <c r="K150" s="15">
        <v>598</v>
      </c>
      <c r="L150" s="6"/>
      <c r="M150" s="11">
        <f>K150</f>
        <v>598</v>
      </c>
    </row>
    <row r="151" spans="1:13" x14ac:dyDescent="0.25">
      <c r="A151" s="6" t="s">
        <v>396</v>
      </c>
      <c r="B151" s="7">
        <f ca="1">$I$1-I151</f>
        <v>102</v>
      </c>
      <c r="C151" s="7"/>
      <c r="D151" s="7"/>
      <c r="E151" s="7"/>
      <c r="F151" s="7" t="s">
        <v>1183</v>
      </c>
      <c r="G151" s="6" t="s">
        <v>397</v>
      </c>
      <c r="H151" s="7" t="s">
        <v>1187</v>
      </c>
      <c r="I151" s="25" t="s">
        <v>191</v>
      </c>
      <c r="J151" s="9">
        <v>2244</v>
      </c>
      <c r="K151" s="15">
        <v>598</v>
      </c>
      <c r="L151" s="6"/>
      <c r="M151" s="11">
        <f>K151</f>
        <v>598</v>
      </c>
    </row>
    <row r="152" spans="1:13" x14ac:dyDescent="0.25">
      <c r="A152" s="6" t="s">
        <v>398</v>
      </c>
      <c r="B152" s="7">
        <f ca="1">$I$1-I152</f>
        <v>80</v>
      </c>
      <c r="C152" s="12">
        <v>3</v>
      </c>
      <c r="D152" s="10">
        <v>49.9</v>
      </c>
      <c r="E152" s="10">
        <f>D152*C152</f>
        <v>149.69999999999999</v>
      </c>
      <c r="F152" s="7" t="s">
        <v>1183</v>
      </c>
      <c r="G152" s="6" t="s">
        <v>399</v>
      </c>
      <c r="H152" s="7" t="s">
        <v>1188</v>
      </c>
      <c r="I152" s="25" t="s">
        <v>400</v>
      </c>
      <c r="J152" s="9">
        <v>2640</v>
      </c>
      <c r="K152" s="15">
        <v>598</v>
      </c>
      <c r="L152" s="11">
        <f>E152</f>
        <v>149.69999999999999</v>
      </c>
      <c r="M152" s="6"/>
    </row>
    <row r="153" spans="1:13" x14ac:dyDescent="0.25">
      <c r="A153" s="6" t="s">
        <v>401</v>
      </c>
      <c r="B153" s="7">
        <f ca="1">$I$1-I153</f>
        <v>100</v>
      </c>
      <c r="C153" s="7"/>
      <c r="D153" s="7"/>
      <c r="E153" s="7"/>
      <c r="F153" s="7" t="s">
        <v>1183</v>
      </c>
      <c r="G153" s="6" t="s">
        <v>402</v>
      </c>
      <c r="H153" s="7" t="s">
        <v>1187</v>
      </c>
      <c r="I153" s="25" t="s">
        <v>107</v>
      </c>
      <c r="J153" s="9">
        <v>2244</v>
      </c>
      <c r="K153" s="15">
        <v>598</v>
      </c>
      <c r="L153" s="6"/>
      <c r="M153" s="11">
        <f>K153</f>
        <v>598</v>
      </c>
    </row>
    <row r="154" spans="1:13" x14ac:dyDescent="0.25">
      <c r="A154" s="6" t="s">
        <v>403</v>
      </c>
      <c r="B154" s="6"/>
      <c r="C154" s="6"/>
      <c r="D154" s="6"/>
      <c r="E154" s="6"/>
      <c r="F154" s="7" t="s">
        <v>1183</v>
      </c>
      <c r="G154" s="6" t="s">
        <v>404</v>
      </c>
      <c r="H154" s="7" t="s">
        <v>1189</v>
      </c>
      <c r="I154" s="25" t="s">
        <v>128</v>
      </c>
      <c r="J154" s="9">
        <v>4644</v>
      </c>
      <c r="K154" s="15">
        <v>598</v>
      </c>
      <c r="L154" s="6"/>
      <c r="M154" s="11">
        <f t="shared" ref="M154:M155" si="78">K154</f>
        <v>598</v>
      </c>
    </row>
    <row r="155" spans="1:13" x14ac:dyDescent="0.25">
      <c r="A155" s="6" t="s">
        <v>405</v>
      </c>
      <c r="B155" s="6"/>
      <c r="C155" s="6"/>
      <c r="D155" s="6"/>
      <c r="E155" s="6"/>
      <c r="F155" s="7" t="s">
        <v>1183</v>
      </c>
      <c r="G155" s="6" t="s">
        <v>406</v>
      </c>
      <c r="H155" s="7" t="s">
        <v>1189</v>
      </c>
      <c r="I155" s="25" t="s">
        <v>112</v>
      </c>
      <c r="J155" s="9">
        <v>2640</v>
      </c>
      <c r="K155" s="15">
        <v>598</v>
      </c>
      <c r="L155" s="6"/>
      <c r="M155" s="11">
        <f t="shared" si="78"/>
        <v>598</v>
      </c>
    </row>
    <row r="156" spans="1:13" x14ac:dyDescent="0.25">
      <c r="A156" s="6" t="s">
        <v>407</v>
      </c>
      <c r="B156" s="7">
        <f ca="1">$I$1-I156</f>
        <v>100</v>
      </c>
      <c r="C156" s="12">
        <v>3</v>
      </c>
      <c r="D156" s="10">
        <v>49.9</v>
      </c>
      <c r="E156" s="10">
        <f>D156*C156</f>
        <v>149.69999999999999</v>
      </c>
      <c r="F156" s="7" t="s">
        <v>1183</v>
      </c>
      <c r="G156" s="6" t="s">
        <v>408</v>
      </c>
      <c r="H156" s="7" t="s">
        <v>1188</v>
      </c>
      <c r="I156" s="25" t="s">
        <v>107</v>
      </c>
      <c r="J156" s="9">
        <v>2640</v>
      </c>
      <c r="K156" s="15">
        <v>598</v>
      </c>
      <c r="L156" s="11">
        <f>E156</f>
        <v>149.69999999999999</v>
      </c>
      <c r="M156" s="6"/>
    </row>
    <row r="157" spans="1:13" x14ac:dyDescent="0.25">
      <c r="A157" s="6" t="s">
        <v>409</v>
      </c>
      <c r="B157" s="6"/>
      <c r="C157" s="6"/>
      <c r="D157" s="6"/>
      <c r="E157" s="6"/>
      <c r="F157" s="7" t="s">
        <v>1183</v>
      </c>
      <c r="G157" s="6" t="s">
        <v>410</v>
      </c>
      <c r="H157" s="7" t="s">
        <v>1189</v>
      </c>
      <c r="I157" s="25" t="s">
        <v>112</v>
      </c>
      <c r="J157" s="9">
        <v>2640</v>
      </c>
      <c r="K157" s="15">
        <v>598</v>
      </c>
      <c r="L157" s="6"/>
      <c r="M157" s="11">
        <f>K157</f>
        <v>598</v>
      </c>
    </row>
    <row r="158" spans="1:13" x14ac:dyDescent="0.25">
      <c r="A158" s="6" t="s">
        <v>412</v>
      </c>
      <c r="B158" s="7">
        <f ca="1">$I$1-I158</f>
        <v>95</v>
      </c>
      <c r="C158" s="12">
        <v>3</v>
      </c>
      <c r="D158" s="10">
        <v>49.9</v>
      </c>
      <c r="E158" s="10">
        <f>D158*C158</f>
        <v>149.69999999999999</v>
      </c>
      <c r="F158" s="7" t="s">
        <v>1183</v>
      </c>
      <c r="G158" s="6" t="s">
        <v>413</v>
      </c>
      <c r="H158" s="7" t="s">
        <v>1186</v>
      </c>
      <c r="I158" s="25" t="s">
        <v>280</v>
      </c>
      <c r="J158" s="9">
        <v>2840</v>
      </c>
      <c r="K158" s="15">
        <v>598</v>
      </c>
      <c r="L158" s="11">
        <f>E158</f>
        <v>149.69999999999999</v>
      </c>
      <c r="M158" s="6"/>
    </row>
    <row r="159" spans="1:13" x14ac:dyDescent="0.25">
      <c r="A159" s="6" t="s">
        <v>414</v>
      </c>
      <c r="B159" s="7">
        <f ca="1">$I$1-I159</f>
        <v>88</v>
      </c>
      <c r="C159" s="7"/>
      <c r="D159" s="7"/>
      <c r="E159" s="7"/>
      <c r="F159" s="7" t="s">
        <v>1183</v>
      </c>
      <c r="G159" s="6" t="s">
        <v>415</v>
      </c>
      <c r="H159" s="7" t="s">
        <v>1187</v>
      </c>
      <c r="I159" s="25" t="s">
        <v>416</v>
      </c>
      <c r="J159" s="9">
        <v>2244</v>
      </c>
      <c r="K159" s="15">
        <v>598</v>
      </c>
      <c r="L159" s="6"/>
      <c r="M159" s="11">
        <f>K159</f>
        <v>598</v>
      </c>
    </row>
    <row r="160" spans="1:13" x14ac:dyDescent="0.25">
      <c r="A160" s="6" t="s">
        <v>417</v>
      </c>
      <c r="B160" s="6"/>
      <c r="C160" s="6"/>
      <c r="D160" s="6"/>
      <c r="E160" s="6"/>
      <c r="F160" s="7" t="s">
        <v>1183</v>
      </c>
      <c r="G160" s="6" t="s">
        <v>418</v>
      </c>
      <c r="H160" s="7" t="s">
        <v>1189</v>
      </c>
      <c r="I160" s="25" t="s">
        <v>128</v>
      </c>
      <c r="J160" s="9">
        <v>2529.34</v>
      </c>
      <c r="K160" s="15">
        <v>598</v>
      </c>
      <c r="L160" s="6"/>
      <c r="M160" s="11">
        <f>K160</f>
        <v>598</v>
      </c>
    </row>
    <row r="161" spans="1:13" x14ac:dyDescent="0.25">
      <c r="A161" s="6" t="s">
        <v>419</v>
      </c>
      <c r="B161" s="7">
        <f ca="1">$I$1-I161</f>
        <v>93</v>
      </c>
      <c r="C161" s="7"/>
      <c r="D161" s="7"/>
      <c r="E161" s="7"/>
      <c r="F161" s="7" t="s">
        <v>1183</v>
      </c>
      <c r="G161" s="6" t="s">
        <v>420</v>
      </c>
      <c r="H161" s="7" t="s">
        <v>13</v>
      </c>
      <c r="I161" s="25" t="s">
        <v>290</v>
      </c>
      <c r="J161" s="9">
        <v>3240</v>
      </c>
      <c r="K161" s="15">
        <v>598</v>
      </c>
      <c r="L161" s="6"/>
      <c r="M161" s="11">
        <f>K161</f>
        <v>598</v>
      </c>
    </row>
    <row r="162" spans="1:13" x14ac:dyDescent="0.25">
      <c r="A162" s="6" t="s">
        <v>421</v>
      </c>
      <c r="B162" s="7">
        <f ca="1">$I$1-I162</f>
        <v>106</v>
      </c>
      <c r="C162" s="12">
        <v>4</v>
      </c>
      <c r="D162" s="10">
        <v>49.9</v>
      </c>
      <c r="E162" s="10">
        <f>D162*C162</f>
        <v>199.6</v>
      </c>
      <c r="F162" s="7" t="s">
        <v>1183</v>
      </c>
      <c r="G162" s="6" t="s">
        <v>422</v>
      </c>
      <c r="H162" s="7" t="s">
        <v>1188</v>
      </c>
      <c r="I162" s="25" t="s">
        <v>96</v>
      </c>
      <c r="J162" s="9">
        <v>2640</v>
      </c>
      <c r="K162" s="15">
        <v>598</v>
      </c>
      <c r="L162" s="11">
        <f>E162</f>
        <v>199.6</v>
      </c>
      <c r="M162" s="6"/>
    </row>
    <row r="163" spans="1:13" x14ac:dyDescent="0.25">
      <c r="A163" s="6" t="s">
        <v>423</v>
      </c>
      <c r="B163" s="7">
        <f ca="1">$I$1-I163</f>
        <v>119</v>
      </c>
      <c r="C163" s="7"/>
      <c r="D163" s="7"/>
      <c r="E163" s="7"/>
      <c r="F163" s="7" t="s">
        <v>1183</v>
      </c>
      <c r="G163" s="6" t="s">
        <v>424</v>
      </c>
      <c r="H163" s="7" t="s">
        <v>1187</v>
      </c>
      <c r="I163" s="25" t="s">
        <v>235</v>
      </c>
      <c r="J163" s="9">
        <v>2244</v>
      </c>
      <c r="K163" s="15">
        <v>598</v>
      </c>
      <c r="L163" s="6"/>
      <c r="M163" s="11">
        <f>K163</f>
        <v>598</v>
      </c>
    </row>
    <row r="164" spans="1:13" x14ac:dyDescent="0.25">
      <c r="A164" s="6" t="s">
        <v>425</v>
      </c>
      <c r="B164" s="7">
        <f t="shared" ref="B164:B171" ca="1" si="79">$I$1-I164</f>
        <v>115</v>
      </c>
      <c r="C164" s="12">
        <v>4</v>
      </c>
      <c r="D164" s="10">
        <v>49.9</v>
      </c>
      <c r="E164" s="10">
        <f t="shared" ref="E164:E171" si="80">D164*C164</f>
        <v>199.6</v>
      </c>
      <c r="F164" s="7" t="s">
        <v>1183</v>
      </c>
      <c r="G164" s="6" t="s">
        <v>426</v>
      </c>
      <c r="H164" s="7" t="s">
        <v>1188</v>
      </c>
      <c r="I164" s="25" t="s">
        <v>273</v>
      </c>
      <c r="J164" s="9">
        <v>2640</v>
      </c>
      <c r="K164" s="15">
        <v>598</v>
      </c>
      <c r="L164" s="11">
        <f t="shared" ref="L164:L171" si="81">E164</f>
        <v>199.6</v>
      </c>
      <c r="M164" s="6"/>
    </row>
    <row r="165" spans="1:13" x14ac:dyDescent="0.25">
      <c r="A165" s="6" t="s">
        <v>427</v>
      </c>
      <c r="B165" s="7">
        <f t="shared" ca="1" si="79"/>
        <v>115</v>
      </c>
      <c r="C165" s="12">
        <v>4</v>
      </c>
      <c r="D165" s="10">
        <v>49.9</v>
      </c>
      <c r="E165" s="10">
        <f t="shared" si="80"/>
        <v>199.6</v>
      </c>
      <c r="F165" s="7" t="s">
        <v>1183</v>
      </c>
      <c r="G165" s="6" t="s">
        <v>428</v>
      </c>
      <c r="H165" s="7" t="s">
        <v>1186</v>
      </c>
      <c r="I165" s="25" t="s">
        <v>273</v>
      </c>
      <c r="J165" s="9">
        <v>2840</v>
      </c>
      <c r="K165" s="15">
        <v>598</v>
      </c>
      <c r="L165" s="11">
        <f t="shared" si="81"/>
        <v>199.6</v>
      </c>
      <c r="M165" s="6"/>
    </row>
    <row r="166" spans="1:13" x14ac:dyDescent="0.25">
      <c r="A166" s="6" t="s">
        <v>429</v>
      </c>
      <c r="B166" s="7">
        <f t="shared" ca="1" si="79"/>
        <v>118</v>
      </c>
      <c r="C166" s="12">
        <v>4</v>
      </c>
      <c r="D166" s="10">
        <v>49.9</v>
      </c>
      <c r="E166" s="10">
        <f t="shared" si="80"/>
        <v>199.6</v>
      </c>
      <c r="F166" s="7" t="s">
        <v>1183</v>
      </c>
      <c r="G166" s="6" t="s">
        <v>430</v>
      </c>
      <c r="H166" s="7" t="s">
        <v>1186</v>
      </c>
      <c r="I166" s="25" t="s">
        <v>178</v>
      </c>
      <c r="J166" s="9">
        <v>2840</v>
      </c>
      <c r="K166" s="15">
        <v>598</v>
      </c>
      <c r="L166" s="11">
        <f t="shared" si="81"/>
        <v>199.6</v>
      </c>
      <c r="M166" s="6"/>
    </row>
    <row r="167" spans="1:13" x14ac:dyDescent="0.25">
      <c r="A167" s="6" t="s">
        <v>431</v>
      </c>
      <c r="B167" s="7">
        <f t="shared" ca="1" si="79"/>
        <v>87</v>
      </c>
      <c r="C167" s="12">
        <v>3</v>
      </c>
      <c r="D167" s="10">
        <v>49.9</v>
      </c>
      <c r="E167" s="10">
        <f t="shared" si="80"/>
        <v>149.69999999999999</v>
      </c>
      <c r="F167" s="7" t="s">
        <v>1183</v>
      </c>
      <c r="G167" s="6" t="s">
        <v>432</v>
      </c>
      <c r="H167" s="7" t="s">
        <v>1186</v>
      </c>
      <c r="I167" s="25" t="s">
        <v>187</v>
      </c>
      <c r="J167" s="9">
        <v>2840</v>
      </c>
      <c r="K167" s="15">
        <v>598</v>
      </c>
      <c r="L167" s="11">
        <f t="shared" si="81"/>
        <v>149.69999999999999</v>
      </c>
      <c r="M167" s="6"/>
    </row>
    <row r="168" spans="1:13" x14ac:dyDescent="0.25">
      <c r="A168" s="6" t="s">
        <v>433</v>
      </c>
      <c r="B168" s="7">
        <f t="shared" ca="1" si="79"/>
        <v>116</v>
      </c>
      <c r="C168" s="12">
        <v>4</v>
      </c>
      <c r="D168" s="10">
        <v>49.9</v>
      </c>
      <c r="E168" s="10">
        <f t="shared" si="80"/>
        <v>199.6</v>
      </c>
      <c r="F168" s="7" t="s">
        <v>1183</v>
      </c>
      <c r="G168" s="6" t="s">
        <v>434</v>
      </c>
      <c r="H168" s="7" t="s">
        <v>1188</v>
      </c>
      <c r="I168" s="25" t="s">
        <v>226</v>
      </c>
      <c r="J168" s="9">
        <v>2640</v>
      </c>
      <c r="K168" s="15">
        <v>598</v>
      </c>
      <c r="L168" s="11">
        <f t="shared" si="81"/>
        <v>199.6</v>
      </c>
      <c r="M168" s="6"/>
    </row>
    <row r="169" spans="1:13" x14ac:dyDescent="0.25">
      <c r="A169" s="6" t="s">
        <v>435</v>
      </c>
      <c r="B169" s="7">
        <f t="shared" ca="1" si="79"/>
        <v>103</v>
      </c>
      <c r="C169" s="12">
        <v>3</v>
      </c>
      <c r="D169" s="10">
        <v>49.9</v>
      </c>
      <c r="E169" s="10">
        <f t="shared" si="80"/>
        <v>149.69999999999999</v>
      </c>
      <c r="F169" s="7" t="s">
        <v>1183</v>
      </c>
      <c r="G169" s="6" t="s">
        <v>436</v>
      </c>
      <c r="H169" s="7" t="s">
        <v>1186</v>
      </c>
      <c r="I169" s="25" t="s">
        <v>101</v>
      </c>
      <c r="J169" s="9">
        <v>2840</v>
      </c>
      <c r="K169" s="15">
        <v>598</v>
      </c>
      <c r="L169" s="11">
        <f t="shared" si="81"/>
        <v>149.69999999999999</v>
      </c>
      <c r="M169" s="6"/>
    </row>
    <row r="170" spans="1:13" x14ac:dyDescent="0.25">
      <c r="A170" s="6" t="s">
        <v>437</v>
      </c>
      <c r="B170" s="7">
        <f t="shared" ca="1" si="79"/>
        <v>124</v>
      </c>
      <c r="C170" s="12">
        <v>4</v>
      </c>
      <c r="D170" s="10">
        <v>49.9</v>
      </c>
      <c r="E170" s="10">
        <f t="shared" si="80"/>
        <v>199.6</v>
      </c>
      <c r="F170" s="7" t="s">
        <v>1183</v>
      </c>
      <c r="G170" s="6" t="s">
        <v>438</v>
      </c>
      <c r="H170" s="7" t="s">
        <v>1186</v>
      </c>
      <c r="I170" s="25" t="s">
        <v>78</v>
      </c>
      <c r="J170" s="9">
        <v>2840</v>
      </c>
      <c r="K170" s="15">
        <v>598</v>
      </c>
      <c r="L170" s="11">
        <f t="shared" si="81"/>
        <v>199.6</v>
      </c>
      <c r="M170" s="6"/>
    </row>
    <row r="171" spans="1:13" x14ac:dyDescent="0.25">
      <c r="A171" s="6" t="s">
        <v>439</v>
      </c>
      <c r="B171" s="7">
        <f t="shared" ca="1" si="79"/>
        <v>95</v>
      </c>
      <c r="C171" s="12">
        <v>3</v>
      </c>
      <c r="D171" s="10">
        <v>49.9</v>
      </c>
      <c r="E171" s="10">
        <f t="shared" si="80"/>
        <v>149.69999999999999</v>
      </c>
      <c r="F171" s="7" t="s">
        <v>1183</v>
      </c>
      <c r="G171" s="6" t="s">
        <v>440</v>
      </c>
      <c r="H171" s="7" t="s">
        <v>1186</v>
      </c>
      <c r="I171" s="25" t="s">
        <v>280</v>
      </c>
      <c r="J171" s="9">
        <v>2840</v>
      </c>
      <c r="K171" s="15">
        <v>598</v>
      </c>
      <c r="L171" s="11">
        <f t="shared" si="81"/>
        <v>149.69999999999999</v>
      </c>
      <c r="M171" s="6"/>
    </row>
    <row r="172" spans="1:13" x14ac:dyDescent="0.25">
      <c r="A172" s="6" t="s">
        <v>441</v>
      </c>
      <c r="B172" s="7">
        <f ca="1">$I$1-I172</f>
        <v>96</v>
      </c>
      <c r="C172" s="7"/>
      <c r="D172" s="7"/>
      <c r="E172" s="7"/>
      <c r="F172" s="7" t="s">
        <v>1183</v>
      </c>
      <c r="G172" s="6" t="s">
        <v>442</v>
      </c>
      <c r="H172" s="7" t="s">
        <v>1187</v>
      </c>
      <c r="I172" s="25" t="s">
        <v>112</v>
      </c>
      <c r="J172" s="9">
        <v>2244</v>
      </c>
      <c r="K172" s="15">
        <v>598</v>
      </c>
      <c r="L172" s="6"/>
      <c r="M172" s="11">
        <f>K172</f>
        <v>598</v>
      </c>
    </row>
    <row r="173" spans="1:13" x14ac:dyDescent="0.25">
      <c r="A173" s="6" t="s">
        <v>443</v>
      </c>
      <c r="B173" s="6"/>
      <c r="C173" s="6"/>
      <c r="D173" s="6"/>
      <c r="E173" s="6"/>
      <c r="F173" s="7" t="s">
        <v>1183</v>
      </c>
      <c r="G173" s="6" t="s">
        <v>444</v>
      </c>
      <c r="H173" s="7" t="s">
        <v>1189</v>
      </c>
      <c r="I173" s="25" t="s">
        <v>445</v>
      </c>
      <c r="J173" s="9">
        <v>2840</v>
      </c>
      <c r="K173" s="15">
        <v>598</v>
      </c>
      <c r="L173" s="6"/>
      <c r="M173" s="11">
        <f>K173</f>
        <v>598</v>
      </c>
    </row>
    <row r="174" spans="1:13" x14ac:dyDescent="0.25">
      <c r="A174" s="6" t="s">
        <v>446</v>
      </c>
      <c r="B174" s="7">
        <f ca="1">$I$1-I174</f>
        <v>97</v>
      </c>
      <c r="C174" s="7"/>
      <c r="D174" s="7"/>
      <c r="E174" s="7"/>
      <c r="F174" s="7" t="s">
        <v>1183</v>
      </c>
      <c r="G174" s="6" t="s">
        <v>447</v>
      </c>
      <c r="H174" s="7" t="s">
        <v>1187</v>
      </c>
      <c r="I174" s="25" t="s">
        <v>395</v>
      </c>
      <c r="J174" s="9">
        <v>2244</v>
      </c>
      <c r="K174" s="15">
        <v>598</v>
      </c>
      <c r="L174" s="6"/>
      <c r="M174" s="11">
        <f>K174</f>
        <v>598</v>
      </c>
    </row>
    <row r="175" spans="1:13" x14ac:dyDescent="0.25">
      <c r="A175" s="6" t="s">
        <v>448</v>
      </c>
      <c r="B175" s="7">
        <f ca="1">$I$1-I175</f>
        <v>98</v>
      </c>
      <c r="C175" s="12">
        <v>3</v>
      </c>
      <c r="D175" s="10">
        <v>49.9</v>
      </c>
      <c r="E175" s="10">
        <f>D175*C175</f>
        <v>149.69999999999999</v>
      </c>
      <c r="F175" s="7" t="s">
        <v>1183</v>
      </c>
      <c r="G175" s="6" t="s">
        <v>449</v>
      </c>
      <c r="H175" s="7" t="s">
        <v>1186</v>
      </c>
      <c r="I175" s="25">
        <v>46022</v>
      </c>
      <c r="J175" s="9">
        <v>2485</v>
      </c>
      <c r="K175" s="15">
        <v>598</v>
      </c>
      <c r="L175" s="11">
        <f>E175</f>
        <v>149.69999999999999</v>
      </c>
      <c r="M175" s="6"/>
    </row>
    <row r="176" spans="1:13" x14ac:dyDescent="0.25">
      <c r="A176" s="6" t="s">
        <v>450</v>
      </c>
      <c r="B176" s="7">
        <f ca="1">$I$1-I176</f>
        <v>100</v>
      </c>
      <c r="C176" s="7"/>
      <c r="D176" s="7"/>
      <c r="E176" s="7"/>
      <c r="F176" s="7" t="s">
        <v>1183</v>
      </c>
      <c r="G176" s="6" t="s">
        <v>451</v>
      </c>
      <c r="H176" s="7" t="s">
        <v>13</v>
      </c>
      <c r="I176" s="25" t="s">
        <v>107</v>
      </c>
      <c r="J176" s="9">
        <v>2040</v>
      </c>
      <c r="K176" s="15">
        <v>598</v>
      </c>
      <c r="L176" s="6"/>
      <c r="M176" s="11">
        <f>K176</f>
        <v>598</v>
      </c>
    </row>
    <row r="177" spans="1:13" x14ac:dyDescent="0.25">
      <c r="A177" s="6" t="s">
        <v>452</v>
      </c>
      <c r="B177" s="7">
        <f t="shared" ref="B177:B178" ca="1" si="82">$I$1-I177</f>
        <v>96</v>
      </c>
      <c r="C177" s="12">
        <v>3</v>
      </c>
      <c r="D177" s="10">
        <v>49.9</v>
      </c>
      <c r="E177" s="10">
        <f t="shared" ref="E177:E178" si="83">D177*C177</f>
        <v>149.69999999999999</v>
      </c>
      <c r="F177" s="7" t="s">
        <v>1183</v>
      </c>
      <c r="G177" s="6" t="s">
        <v>453</v>
      </c>
      <c r="H177" s="7" t="s">
        <v>1186</v>
      </c>
      <c r="I177" s="25" t="s">
        <v>112</v>
      </c>
      <c r="J177" s="9">
        <v>2840</v>
      </c>
      <c r="K177" s="15">
        <v>598</v>
      </c>
      <c r="L177" s="11">
        <f t="shared" ref="L177:L178" si="84">E177</f>
        <v>149.69999999999999</v>
      </c>
      <c r="M177" s="6"/>
    </row>
    <row r="178" spans="1:13" x14ac:dyDescent="0.25">
      <c r="A178" s="6" t="s">
        <v>454</v>
      </c>
      <c r="B178" s="7">
        <f t="shared" ca="1" si="82"/>
        <v>92</v>
      </c>
      <c r="C178" s="12">
        <v>3</v>
      </c>
      <c r="D178" s="10">
        <v>49.9</v>
      </c>
      <c r="E178" s="10">
        <f t="shared" si="83"/>
        <v>149.69999999999999</v>
      </c>
      <c r="F178" s="7" t="s">
        <v>1183</v>
      </c>
      <c r="G178" s="6" t="s">
        <v>455</v>
      </c>
      <c r="H178" s="7" t="s">
        <v>1186</v>
      </c>
      <c r="I178" s="25" t="s">
        <v>21</v>
      </c>
      <c r="J178" s="9">
        <v>2840</v>
      </c>
      <c r="K178" s="15">
        <v>598</v>
      </c>
      <c r="L178" s="11">
        <f t="shared" si="84"/>
        <v>149.69999999999999</v>
      </c>
      <c r="M178" s="6"/>
    </row>
    <row r="179" spans="1:13" x14ac:dyDescent="0.25">
      <c r="A179" s="6" t="s">
        <v>456</v>
      </c>
      <c r="B179" s="7">
        <f ca="1">$I$1-I179</f>
        <v>93</v>
      </c>
      <c r="C179" s="7"/>
      <c r="D179" s="7"/>
      <c r="E179" s="7"/>
      <c r="F179" s="7" t="s">
        <v>1183</v>
      </c>
      <c r="G179" s="6" t="s">
        <v>457</v>
      </c>
      <c r="H179" s="7" t="s">
        <v>1187</v>
      </c>
      <c r="I179" s="25" t="s">
        <v>290</v>
      </c>
      <c r="J179" s="9">
        <v>2244</v>
      </c>
      <c r="K179" s="15">
        <v>598</v>
      </c>
      <c r="L179" s="6"/>
      <c r="M179" s="11">
        <f>K179</f>
        <v>598</v>
      </c>
    </row>
    <row r="180" spans="1:13" x14ac:dyDescent="0.25">
      <c r="A180" s="6" t="s">
        <v>458</v>
      </c>
      <c r="B180" s="7">
        <f ca="1">$I$1-I180</f>
        <v>100</v>
      </c>
      <c r="C180" s="12">
        <v>3</v>
      </c>
      <c r="D180" s="10">
        <v>49.9</v>
      </c>
      <c r="E180" s="10">
        <f>D180*C180</f>
        <v>149.69999999999999</v>
      </c>
      <c r="F180" s="7" t="s">
        <v>1183</v>
      </c>
      <c r="G180" s="6" t="s">
        <v>459</v>
      </c>
      <c r="H180" s="7" t="s">
        <v>1186</v>
      </c>
      <c r="I180" s="25" t="s">
        <v>107</v>
      </c>
      <c r="J180" s="9">
        <v>2840</v>
      </c>
      <c r="K180" s="15">
        <v>598</v>
      </c>
      <c r="L180" s="11">
        <f>E180</f>
        <v>149.69999999999999</v>
      </c>
      <c r="M180" s="6"/>
    </row>
    <row r="181" spans="1:13" x14ac:dyDescent="0.25">
      <c r="A181" s="6" t="s">
        <v>460</v>
      </c>
      <c r="B181" s="7">
        <f t="shared" ref="B181:B183" ca="1" si="85">$I$1-I181</f>
        <v>99</v>
      </c>
      <c r="C181" s="7"/>
      <c r="D181" s="7"/>
      <c r="E181" s="7"/>
      <c r="F181" s="7" t="s">
        <v>1183</v>
      </c>
      <c r="G181" s="6" t="s">
        <v>461</v>
      </c>
      <c r="H181" s="7" t="s">
        <v>1187</v>
      </c>
      <c r="I181" s="25" t="s">
        <v>375</v>
      </c>
      <c r="J181" s="9">
        <v>2244</v>
      </c>
      <c r="K181" s="15">
        <v>598</v>
      </c>
      <c r="L181" s="6"/>
      <c r="M181" s="11">
        <f t="shared" ref="M181:M183" si="86">K181</f>
        <v>598</v>
      </c>
    </row>
    <row r="182" spans="1:13" x14ac:dyDescent="0.25">
      <c r="A182" s="6" t="s">
        <v>462</v>
      </c>
      <c r="B182" s="7">
        <f t="shared" ca="1" si="85"/>
        <v>80</v>
      </c>
      <c r="C182" s="7"/>
      <c r="D182" s="7"/>
      <c r="E182" s="7"/>
      <c r="F182" s="7" t="s">
        <v>1183</v>
      </c>
      <c r="G182" s="6" t="s">
        <v>463</v>
      </c>
      <c r="H182" s="7" t="s">
        <v>13</v>
      </c>
      <c r="I182" s="25" t="s">
        <v>400</v>
      </c>
      <c r="J182" s="9">
        <v>2039.03</v>
      </c>
      <c r="K182" s="15">
        <v>598</v>
      </c>
      <c r="L182" s="6"/>
      <c r="M182" s="11">
        <f t="shared" si="86"/>
        <v>598</v>
      </c>
    </row>
    <row r="183" spans="1:13" x14ac:dyDescent="0.25">
      <c r="A183" s="6" t="s">
        <v>464</v>
      </c>
      <c r="B183" s="7">
        <f t="shared" ca="1" si="85"/>
        <v>96</v>
      </c>
      <c r="C183" s="7"/>
      <c r="D183" s="7"/>
      <c r="E183" s="7"/>
      <c r="F183" s="7" t="s">
        <v>1183</v>
      </c>
      <c r="G183" s="6" t="s">
        <v>465</v>
      </c>
      <c r="H183" s="7" t="s">
        <v>13</v>
      </c>
      <c r="I183" s="25" t="s">
        <v>112</v>
      </c>
      <c r="J183" s="9">
        <v>2040</v>
      </c>
      <c r="K183" s="15">
        <v>598</v>
      </c>
      <c r="L183" s="6"/>
      <c r="M183" s="11">
        <f t="shared" si="86"/>
        <v>598</v>
      </c>
    </row>
    <row r="184" spans="1:13" x14ac:dyDescent="0.25">
      <c r="A184" s="6" t="s">
        <v>466</v>
      </c>
      <c r="B184" s="7">
        <f ca="1">$I$1-I184</f>
        <v>89</v>
      </c>
      <c r="C184" s="12">
        <v>3</v>
      </c>
      <c r="D184" s="10">
        <v>49.9</v>
      </c>
      <c r="E184" s="10">
        <f>D184*C184</f>
        <v>149.69999999999999</v>
      </c>
      <c r="F184" s="7" t="s">
        <v>1183</v>
      </c>
      <c r="G184" s="6" t="s">
        <v>467</v>
      </c>
      <c r="H184" s="7" t="s">
        <v>1186</v>
      </c>
      <c r="I184" s="25" t="s">
        <v>247</v>
      </c>
      <c r="J184" s="9">
        <v>2840</v>
      </c>
      <c r="K184" s="15">
        <v>598</v>
      </c>
      <c r="L184" s="11">
        <f>E184</f>
        <v>149.69999999999999</v>
      </c>
      <c r="M184" s="6"/>
    </row>
    <row r="185" spans="1:13" x14ac:dyDescent="0.25">
      <c r="A185" s="6" t="s">
        <v>468</v>
      </c>
      <c r="B185" s="7">
        <f t="shared" ref="B185:B186" ca="1" si="87">$I$1-I185</f>
        <v>73</v>
      </c>
      <c r="C185" s="7"/>
      <c r="D185" s="7"/>
      <c r="E185" s="7"/>
      <c r="F185" s="7" t="s">
        <v>1183</v>
      </c>
      <c r="G185" s="6" t="s">
        <v>469</v>
      </c>
      <c r="H185" s="7" t="s">
        <v>1187</v>
      </c>
      <c r="I185" s="25" t="s">
        <v>324</v>
      </c>
      <c r="J185" s="9">
        <v>2244</v>
      </c>
      <c r="K185" s="15">
        <v>598</v>
      </c>
      <c r="L185" s="6"/>
      <c r="M185" s="11">
        <f t="shared" ref="M185:M186" si="88">K185</f>
        <v>598</v>
      </c>
    </row>
    <row r="186" spans="1:13" x14ac:dyDescent="0.25">
      <c r="A186" s="6" t="s">
        <v>470</v>
      </c>
      <c r="B186" s="7">
        <f t="shared" ca="1" si="87"/>
        <v>80</v>
      </c>
      <c r="C186" s="7"/>
      <c r="D186" s="7"/>
      <c r="E186" s="7"/>
      <c r="F186" s="7" t="s">
        <v>1183</v>
      </c>
      <c r="G186" s="6" t="s">
        <v>471</v>
      </c>
      <c r="H186" s="7" t="s">
        <v>13</v>
      </c>
      <c r="I186" s="25" t="s">
        <v>400</v>
      </c>
      <c r="J186" s="9">
        <v>2040</v>
      </c>
      <c r="K186" s="15">
        <v>598</v>
      </c>
      <c r="L186" s="6"/>
      <c r="M186" s="11">
        <f t="shared" si="88"/>
        <v>598</v>
      </c>
    </row>
    <row r="187" spans="1:13" x14ac:dyDescent="0.25">
      <c r="A187" s="6" t="s">
        <v>472</v>
      </c>
      <c r="B187" s="6"/>
      <c r="C187" s="6"/>
      <c r="D187" s="6"/>
      <c r="E187" s="6"/>
      <c r="F187" s="7" t="s">
        <v>1183</v>
      </c>
      <c r="G187" s="6" t="s">
        <v>473</v>
      </c>
      <c r="H187" s="7" t="s">
        <v>1189</v>
      </c>
      <c r="I187" s="25" t="s">
        <v>137</v>
      </c>
      <c r="J187" s="9">
        <v>2640</v>
      </c>
      <c r="K187" s="15">
        <v>598</v>
      </c>
      <c r="L187" s="6"/>
      <c r="M187" s="11">
        <f>K187</f>
        <v>598</v>
      </c>
    </row>
    <row r="188" spans="1:13" x14ac:dyDescent="0.25">
      <c r="A188" s="6" t="s">
        <v>474</v>
      </c>
      <c r="B188" s="7">
        <f t="shared" ref="B188:B192" ca="1" si="89">$I$1-I188</f>
        <v>95</v>
      </c>
      <c r="C188" s="7"/>
      <c r="D188" s="7"/>
      <c r="E188" s="7"/>
      <c r="F188" s="7" t="s">
        <v>1183</v>
      </c>
      <c r="G188" s="6" t="s">
        <v>475</v>
      </c>
      <c r="H188" s="7" t="s">
        <v>13</v>
      </c>
      <c r="I188" s="25" t="s">
        <v>280</v>
      </c>
      <c r="J188" s="9">
        <v>2040</v>
      </c>
      <c r="K188" s="15">
        <v>598</v>
      </c>
      <c r="L188" s="6"/>
      <c r="M188" s="11">
        <f t="shared" ref="M188:M190" si="90">K188</f>
        <v>598</v>
      </c>
    </row>
    <row r="189" spans="1:13" x14ac:dyDescent="0.25">
      <c r="A189" s="6" t="s">
        <v>476</v>
      </c>
      <c r="B189" s="7">
        <f t="shared" ca="1" si="89"/>
        <v>109</v>
      </c>
      <c r="C189" s="7"/>
      <c r="D189" s="7"/>
      <c r="E189" s="7"/>
      <c r="F189" s="7" t="s">
        <v>1183</v>
      </c>
      <c r="G189" s="6" t="s">
        <v>477</v>
      </c>
      <c r="H189" s="7" t="s">
        <v>1187</v>
      </c>
      <c r="I189" s="25" t="s">
        <v>301</v>
      </c>
      <c r="J189" s="9">
        <v>2244</v>
      </c>
      <c r="K189" s="15">
        <v>598</v>
      </c>
      <c r="L189" s="6"/>
      <c r="M189" s="11">
        <f t="shared" si="90"/>
        <v>598</v>
      </c>
    </row>
    <row r="190" spans="1:13" x14ac:dyDescent="0.25">
      <c r="A190" s="6" t="s">
        <v>478</v>
      </c>
      <c r="B190" s="7">
        <f t="shared" ca="1" si="89"/>
        <v>119</v>
      </c>
      <c r="C190" s="7"/>
      <c r="D190" s="7"/>
      <c r="E190" s="7"/>
      <c r="F190" s="7" t="s">
        <v>1183</v>
      </c>
      <c r="G190" s="6" t="s">
        <v>479</v>
      </c>
      <c r="H190" s="7" t="s">
        <v>1187</v>
      </c>
      <c r="I190" s="25" t="s">
        <v>235</v>
      </c>
      <c r="J190" s="9">
        <v>2244</v>
      </c>
      <c r="K190" s="15">
        <v>598</v>
      </c>
      <c r="L190" s="6"/>
      <c r="M190" s="11">
        <f t="shared" si="90"/>
        <v>598</v>
      </c>
    </row>
    <row r="191" spans="1:13" x14ac:dyDescent="0.25">
      <c r="A191" s="6" t="s">
        <v>480</v>
      </c>
      <c r="B191" s="7">
        <f t="shared" ca="1" si="89"/>
        <v>89</v>
      </c>
      <c r="C191" s="12">
        <v>3</v>
      </c>
      <c r="D191" s="10">
        <v>49.9</v>
      </c>
      <c r="E191" s="10">
        <f t="shared" ref="E191:E192" si="91">D191*C191</f>
        <v>149.69999999999999</v>
      </c>
      <c r="F191" s="7" t="s">
        <v>1183</v>
      </c>
      <c r="G191" s="6" t="s">
        <v>481</v>
      </c>
      <c r="H191" s="7" t="s">
        <v>1186</v>
      </c>
      <c r="I191" s="25" t="s">
        <v>247</v>
      </c>
      <c r="J191" s="9">
        <v>2840</v>
      </c>
      <c r="K191" s="15">
        <v>598</v>
      </c>
      <c r="L191" s="11">
        <f t="shared" ref="L191:L192" si="92">E191</f>
        <v>149.69999999999999</v>
      </c>
      <c r="M191" s="6"/>
    </row>
    <row r="192" spans="1:13" x14ac:dyDescent="0.25">
      <c r="A192" s="6" t="s">
        <v>482</v>
      </c>
      <c r="B192" s="7">
        <f t="shared" ca="1" si="89"/>
        <v>79</v>
      </c>
      <c r="C192" s="12">
        <v>3</v>
      </c>
      <c r="D192" s="10">
        <v>49.9</v>
      </c>
      <c r="E192" s="10">
        <f t="shared" si="91"/>
        <v>149.69999999999999</v>
      </c>
      <c r="F192" s="7" t="s">
        <v>1183</v>
      </c>
      <c r="G192" s="6" t="s">
        <v>483</v>
      </c>
      <c r="H192" s="7" t="s">
        <v>1186</v>
      </c>
      <c r="I192" s="25" t="s">
        <v>237</v>
      </c>
      <c r="J192" s="9">
        <v>2840</v>
      </c>
      <c r="K192" s="15">
        <v>598</v>
      </c>
      <c r="L192" s="11">
        <f t="shared" si="92"/>
        <v>149.69999999999999</v>
      </c>
      <c r="M192" s="6"/>
    </row>
    <row r="193" spans="1:13" x14ac:dyDescent="0.25">
      <c r="A193" s="6" t="s">
        <v>485</v>
      </c>
      <c r="B193" s="7">
        <f t="shared" ref="B193:B194" ca="1" si="93">$I$1-I193</f>
        <v>84</v>
      </c>
      <c r="C193" s="7"/>
      <c r="D193" s="7"/>
      <c r="E193" s="7"/>
      <c r="F193" s="7" t="s">
        <v>1183</v>
      </c>
      <c r="G193" s="6" t="s">
        <v>486</v>
      </c>
      <c r="H193" s="7" t="s">
        <v>13</v>
      </c>
      <c r="I193" s="25" t="s">
        <v>190</v>
      </c>
      <c r="J193" s="9">
        <v>2040</v>
      </c>
      <c r="K193" s="15">
        <v>598</v>
      </c>
      <c r="L193" s="6"/>
      <c r="M193" s="11">
        <f t="shared" ref="M193:M194" si="94">K193</f>
        <v>598</v>
      </c>
    </row>
    <row r="194" spans="1:13" x14ac:dyDescent="0.25">
      <c r="A194" s="6" t="s">
        <v>487</v>
      </c>
      <c r="B194" s="7">
        <f t="shared" ca="1" si="93"/>
        <v>70</v>
      </c>
      <c r="C194" s="7"/>
      <c r="D194" s="7"/>
      <c r="E194" s="7"/>
      <c r="F194" s="7" t="s">
        <v>1183</v>
      </c>
      <c r="G194" s="6" t="s">
        <v>488</v>
      </c>
      <c r="H194" s="7" t="s">
        <v>1187</v>
      </c>
      <c r="I194" s="25" t="s">
        <v>489</v>
      </c>
      <c r="J194" s="9">
        <v>2244</v>
      </c>
      <c r="K194" s="15">
        <v>598</v>
      </c>
      <c r="L194" s="6"/>
      <c r="M194" s="11">
        <f t="shared" si="94"/>
        <v>598</v>
      </c>
    </row>
    <row r="195" spans="1:13" x14ac:dyDescent="0.25">
      <c r="A195" s="6" t="s">
        <v>490</v>
      </c>
      <c r="B195" s="7">
        <f ca="1">$I$1-I195</f>
        <v>75</v>
      </c>
      <c r="C195" s="12">
        <v>3</v>
      </c>
      <c r="D195" s="10">
        <v>49.9</v>
      </c>
      <c r="E195" s="10">
        <f>D195*C195</f>
        <v>149.69999999999999</v>
      </c>
      <c r="F195" s="7" t="s">
        <v>1183</v>
      </c>
      <c r="G195" s="6" t="s">
        <v>491</v>
      </c>
      <c r="H195" s="7" t="s">
        <v>1186</v>
      </c>
      <c r="I195" s="25" t="s">
        <v>304</v>
      </c>
      <c r="J195" s="9">
        <v>2840</v>
      </c>
      <c r="K195" s="15">
        <v>598</v>
      </c>
      <c r="L195" s="11">
        <f>E195</f>
        <v>149.69999999999999</v>
      </c>
      <c r="M195" s="6"/>
    </row>
    <row r="196" spans="1:13" x14ac:dyDescent="0.25">
      <c r="A196" s="6" t="s">
        <v>492</v>
      </c>
      <c r="B196" s="7">
        <f ca="1">$I$1-I196</f>
        <v>74</v>
      </c>
      <c r="C196" s="7"/>
      <c r="D196" s="7"/>
      <c r="E196" s="7"/>
      <c r="F196" s="7" t="s">
        <v>1183</v>
      </c>
      <c r="G196" s="6" t="s">
        <v>493</v>
      </c>
      <c r="H196" s="7" t="s">
        <v>1187</v>
      </c>
      <c r="I196" s="25" t="s">
        <v>494</v>
      </c>
      <c r="J196" s="9">
        <v>2244</v>
      </c>
      <c r="K196" s="15">
        <v>598</v>
      </c>
      <c r="L196" s="6"/>
      <c r="M196" s="11">
        <f>K196</f>
        <v>598</v>
      </c>
    </row>
    <row r="197" spans="1:13" x14ac:dyDescent="0.25">
      <c r="A197" s="6" t="s">
        <v>495</v>
      </c>
      <c r="B197" s="7">
        <f ca="1">$I$1-I197</f>
        <v>70</v>
      </c>
      <c r="C197" s="12">
        <v>2</v>
      </c>
      <c r="D197" s="10">
        <v>49.9</v>
      </c>
      <c r="E197" s="10">
        <f>D197*C197</f>
        <v>99.8</v>
      </c>
      <c r="F197" s="7" t="s">
        <v>1183</v>
      </c>
      <c r="G197" s="6" t="s">
        <v>496</v>
      </c>
      <c r="H197" s="7" t="s">
        <v>1186</v>
      </c>
      <c r="I197" s="25" t="s">
        <v>489</v>
      </c>
      <c r="J197" s="9">
        <v>2840</v>
      </c>
      <c r="K197" s="15">
        <v>598</v>
      </c>
      <c r="L197" s="11">
        <f>E197</f>
        <v>99.8</v>
      </c>
      <c r="M197" s="6"/>
    </row>
    <row r="198" spans="1:13" x14ac:dyDescent="0.25">
      <c r="A198" s="6" t="s">
        <v>497</v>
      </c>
      <c r="B198" s="7">
        <f ca="1">$I$1-I198</f>
        <v>140</v>
      </c>
      <c r="C198" s="7"/>
      <c r="D198" s="7"/>
      <c r="E198" s="7"/>
      <c r="F198" s="7" t="s">
        <v>1184</v>
      </c>
      <c r="G198" s="6" t="s">
        <v>498</v>
      </c>
      <c r="H198" s="7" t="s">
        <v>1187</v>
      </c>
      <c r="I198" s="25" t="s">
        <v>57</v>
      </c>
      <c r="J198" s="9">
        <v>4611.96</v>
      </c>
      <c r="K198" s="16">
        <v>1196</v>
      </c>
      <c r="L198" s="6"/>
      <c r="M198" s="11">
        <f>K198</f>
        <v>1196</v>
      </c>
    </row>
    <row r="199" spans="1:13" x14ac:dyDescent="0.25">
      <c r="A199" s="6" t="s">
        <v>499</v>
      </c>
      <c r="B199" s="7">
        <f t="shared" ref="B199:B210" ca="1" si="95">$I$1-I199</f>
        <v>178</v>
      </c>
      <c r="C199" s="12">
        <v>6</v>
      </c>
      <c r="D199" s="10">
        <v>99.9</v>
      </c>
      <c r="E199" s="10">
        <f t="shared" ref="E199:E210" si="96">D199*C199</f>
        <v>599.40000000000009</v>
      </c>
      <c r="F199" s="7" t="s">
        <v>1184</v>
      </c>
      <c r="G199" s="6" t="s">
        <v>500</v>
      </c>
      <c r="H199" s="7" t="s">
        <v>1186</v>
      </c>
      <c r="I199" s="25" t="s">
        <v>165</v>
      </c>
      <c r="J199" s="9">
        <v>7581.96</v>
      </c>
      <c r="K199" s="16">
        <v>1196</v>
      </c>
      <c r="L199" s="11">
        <f t="shared" ref="L199:L210" si="97">E199</f>
        <v>599.40000000000009</v>
      </c>
      <c r="M199" s="6"/>
    </row>
    <row r="200" spans="1:13" x14ac:dyDescent="0.25">
      <c r="A200" s="6" t="s">
        <v>501</v>
      </c>
      <c r="B200" s="7">
        <f t="shared" ca="1" si="95"/>
        <v>178</v>
      </c>
      <c r="C200" s="12">
        <v>6</v>
      </c>
      <c r="D200" s="10">
        <v>99.9</v>
      </c>
      <c r="E200" s="10">
        <f t="shared" si="96"/>
        <v>599.40000000000009</v>
      </c>
      <c r="F200" s="7" t="s">
        <v>1184</v>
      </c>
      <c r="G200" s="6" t="s">
        <v>502</v>
      </c>
      <c r="H200" s="7" t="s">
        <v>1186</v>
      </c>
      <c r="I200" s="25" t="s">
        <v>165</v>
      </c>
      <c r="J200" s="9">
        <v>7581.96</v>
      </c>
      <c r="K200" s="16">
        <v>1196</v>
      </c>
      <c r="L200" s="11">
        <f t="shared" si="97"/>
        <v>599.40000000000009</v>
      </c>
      <c r="M200" s="6"/>
    </row>
    <row r="201" spans="1:13" x14ac:dyDescent="0.25">
      <c r="A201" s="6" t="s">
        <v>503</v>
      </c>
      <c r="B201" s="7">
        <f t="shared" ca="1" si="95"/>
        <v>178</v>
      </c>
      <c r="C201" s="12">
        <v>6</v>
      </c>
      <c r="D201" s="10">
        <v>99.9</v>
      </c>
      <c r="E201" s="10">
        <f t="shared" si="96"/>
        <v>599.40000000000009</v>
      </c>
      <c r="F201" s="7" t="s">
        <v>1184</v>
      </c>
      <c r="G201" s="6" t="s">
        <v>504</v>
      </c>
      <c r="H201" s="7" t="s">
        <v>1186</v>
      </c>
      <c r="I201" s="25" t="s">
        <v>165</v>
      </c>
      <c r="J201" s="9">
        <v>7581.96</v>
      </c>
      <c r="K201" s="16">
        <v>1196</v>
      </c>
      <c r="L201" s="11">
        <f t="shared" si="97"/>
        <v>599.40000000000009</v>
      </c>
      <c r="M201" s="6"/>
    </row>
    <row r="202" spans="1:13" x14ac:dyDescent="0.25">
      <c r="A202" s="6" t="s">
        <v>505</v>
      </c>
      <c r="B202" s="7">
        <f t="shared" ca="1" si="95"/>
        <v>164</v>
      </c>
      <c r="C202" s="12">
        <v>5</v>
      </c>
      <c r="D202" s="10">
        <v>99.9</v>
      </c>
      <c r="E202" s="10">
        <f t="shared" si="96"/>
        <v>499.5</v>
      </c>
      <c r="F202" s="7" t="s">
        <v>1184</v>
      </c>
      <c r="G202" s="6" t="s">
        <v>506</v>
      </c>
      <c r="H202" s="7" t="s">
        <v>1188</v>
      </c>
      <c r="I202" s="25" t="s">
        <v>230</v>
      </c>
      <c r="J202" s="9">
        <v>6681.96</v>
      </c>
      <c r="K202" s="16">
        <v>1196</v>
      </c>
      <c r="L202" s="11">
        <f t="shared" si="97"/>
        <v>499.5</v>
      </c>
      <c r="M202" s="6"/>
    </row>
    <row r="203" spans="1:13" x14ac:dyDescent="0.25">
      <c r="A203" s="6" t="s">
        <v>507</v>
      </c>
      <c r="B203" s="7">
        <f t="shared" ca="1" si="95"/>
        <v>149</v>
      </c>
      <c r="C203" s="12">
        <v>5</v>
      </c>
      <c r="D203" s="10">
        <v>99.9</v>
      </c>
      <c r="E203" s="10">
        <f t="shared" si="96"/>
        <v>499.5</v>
      </c>
      <c r="F203" s="7" t="s">
        <v>1184</v>
      </c>
      <c r="G203" s="6" t="s">
        <v>508</v>
      </c>
      <c r="H203" s="7" t="s">
        <v>1186</v>
      </c>
      <c r="I203" s="25" t="s">
        <v>157</v>
      </c>
      <c r="J203" s="9">
        <v>7581.96</v>
      </c>
      <c r="K203" s="16">
        <v>1196</v>
      </c>
      <c r="L203" s="11">
        <f t="shared" si="97"/>
        <v>499.5</v>
      </c>
      <c r="M203" s="6"/>
    </row>
    <row r="204" spans="1:13" x14ac:dyDescent="0.25">
      <c r="A204" s="6" t="s">
        <v>509</v>
      </c>
      <c r="B204" s="7">
        <f t="shared" ca="1" si="95"/>
        <v>165</v>
      </c>
      <c r="C204" s="12">
        <v>6</v>
      </c>
      <c r="D204" s="10">
        <v>99.9</v>
      </c>
      <c r="E204" s="10">
        <f t="shared" si="96"/>
        <v>599.40000000000009</v>
      </c>
      <c r="F204" s="7" t="s">
        <v>1184</v>
      </c>
      <c r="G204" s="6" t="s">
        <v>510</v>
      </c>
      <c r="H204" s="7" t="s">
        <v>1188</v>
      </c>
      <c r="I204" s="25" t="s">
        <v>150</v>
      </c>
      <c r="J204" s="9">
        <v>6681.96</v>
      </c>
      <c r="K204" s="16">
        <v>1196</v>
      </c>
      <c r="L204" s="11">
        <f t="shared" si="97"/>
        <v>599.40000000000009</v>
      </c>
      <c r="M204" s="6"/>
    </row>
    <row r="205" spans="1:13" x14ac:dyDescent="0.25">
      <c r="A205" s="6" t="s">
        <v>511</v>
      </c>
      <c r="B205" s="7">
        <f t="shared" ca="1" si="95"/>
        <v>165</v>
      </c>
      <c r="C205" s="12">
        <v>6</v>
      </c>
      <c r="D205" s="10">
        <v>99.9</v>
      </c>
      <c r="E205" s="10">
        <f t="shared" si="96"/>
        <v>599.40000000000009</v>
      </c>
      <c r="F205" s="7" t="s">
        <v>1184</v>
      </c>
      <c r="G205" s="6" t="s">
        <v>512</v>
      </c>
      <c r="H205" s="7" t="s">
        <v>1186</v>
      </c>
      <c r="I205" s="25" t="s">
        <v>150</v>
      </c>
      <c r="J205" s="9">
        <v>7581.96</v>
      </c>
      <c r="K205" s="16">
        <v>1196</v>
      </c>
      <c r="L205" s="11">
        <f t="shared" si="97"/>
        <v>599.40000000000009</v>
      </c>
      <c r="M205" s="6"/>
    </row>
    <row r="206" spans="1:13" x14ac:dyDescent="0.25">
      <c r="A206" s="6" t="s">
        <v>513</v>
      </c>
      <c r="B206" s="7">
        <f t="shared" ca="1" si="95"/>
        <v>178</v>
      </c>
      <c r="C206" s="12">
        <v>6</v>
      </c>
      <c r="D206" s="10">
        <v>99.9</v>
      </c>
      <c r="E206" s="10">
        <f t="shared" si="96"/>
        <v>599.40000000000009</v>
      </c>
      <c r="F206" s="7" t="s">
        <v>1184</v>
      </c>
      <c r="G206" s="6" t="s">
        <v>514</v>
      </c>
      <c r="H206" s="7" t="s">
        <v>1188</v>
      </c>
      <c r="I206" s="25" t="s">
        <v>165</v>
      </c>
      <c r="J206" s="9">
        <v>6681.96</v>
      </c>
      <c r="K206" s="16">
        <v>1196</v>
      </c>
      <c r="L206" s="11">
        <f t="shared" si="97"/>
        <v>599.40000000000009</v>
      </c>
      <c r="M206" s="6"/>
    </row>
    <row r="207" spans="1:13" x14ac:dyDescent="0.25">
      <c r="A207" s="6" t="s">
        <v>515</v>
      </c>
      <c r="B207" s="7">
        <f t="shared" ca="1" si="95"/>
        <v>174</v>
      </c>
      <c r="C207" s="12">
        <v>6</v>
      </c>
      <c r="D207" s="10">
        <v>99.9</v>
      </c>
      <c r="E207" s="10">
        <f t="shared" si="96"/>
        <v>599.40000000000009</v>
      </c>
      <c r="F207" s="7" t="s">
        <v>1184</v>
      </c>
      <c r="G207" s="6" t="s">
        <v>516</v>
      </c>
      <c r="H207" s="7" t="s">
        <v>1186</v>
      </c>
      <c r="I207" s="25" t="s">
        <v>155</v>
      </c>
      <c r="J207" s="9">
        <v>7581.96</v>
      </c>
      <c r="K207" s="16">
        <v>1196</v>
      </c>
      <c r="L207" s="11">
        <f t="shared" si="97"/>
        <v>599.40000000000009</v>
      </c>
      <c r="M207" s="6"/>
    </row>
    <row r="208" spans="1:13" x14ac:dyDescent="0.25">
      <c r="A208" s="6" t="s">
        <v>517</v>
      </c>
      <c r="B208" s="7">
        <f t="shared" ca="1" si="95"/>
        <v>174</v>
      </c>
      <c r="C208" s="12">
        <v>6</v>
      </c>
      <c r="D208" s="10">
        <v>99.9</v>
      </c>
      <c r="E208" s="10">
        <f t="shared" si="96"/>
        <v>599.40000000000009</v>
      </c>
      <c r="F208" s="7" t="s">
        <v>1184</v>
      </c>
      <c r="G208" s="6" t="s">
        <v>518</v>
      </c>
      <c r="H208" s="7" t="s">
        <v>1186</v>
      </c>
      <c r="I208" s="25" t="s">
        <v>155</v>
      </c>
      <c r="J208" s="9">
        <v>7581.96</v>
      </c>
      <c r="K208" s="16">
        <v>1196</v>
      </c>
      <c r="L208" s="11">
        <f t="shared" si="97"/>
        <v>599.40000000000009</v>
      </c>
      <c r="M208" s="6"/>
    </row>
    <row r="209" spans="1:13" x14ac:dyDescent="0.25">
      <c r="A209" s="6" t="s">
        <v>519</v>
      </c>
      <c r="B209" s="7">
        <f t="shared" ca="1" si="95"/>
        <v>150</v>
      </c>
      <c r="C209" s="12">
        <v>5</v>
      </c>
      <c r="D209" s="10">
        <v>99.9</v>
      </c>
      <c r="E209" s="10">
        <f t="shared" si="96"/>
        <v>499.5</v>
      </c>
      <c r="F209" s="7" t="s">
        <v>1184</v>
      </c>
      <c r="G209" s="6" t="s">
        <v>520</v>
      </c>
      <c r="H209" s="7" t="s">
        <v>1188</v>
      </c>
      <c r="I209" s="25" t="s">
        <v>183</v>
      </c>
      <c r="J209" s="9">
        <v>6681.96</v>
      </c>
      <c r="K209" s="16">
        <v>1196</v>
      </c>
      <c r="L209" s="11">
        <f t="shared" si="97"/>
        <v>499.5</v>
      </c>
      <c r="M209" s="6"/>
    </row>
    <row r="210" spans="1:13" x14ac:dyDescent="0.25">
      <c r="A210" s="6" t="s">
        <v>521</v>
      </c>
      <c r="B210" s="7">
        <f t="shared" ca="1" si="95"/>
        <v>178</v>
      </c>
      <c r="C210" s="12">
        <v>6</v>
      </c>
      <c r="D210" s="10">
        <v>99.9</v>
      </c>
      <c r="E210" s="10">
        <f t="shared" si="96"/>
        <v>599.40000000000009</v>
      </c>
      <c r="F210" s="7" t="s">
        <v>1184</v>
      </c>
      <c r="G210" s="6" t="s">
        <v>522</v>
      </c>
      <c r="H210" s="7" t="s">
        <v>1188</v>
      </c>
      <c r="I210" s="25" t="s">
        <v>165</v>
      </c>
      <c r="J210" s="9">
        <v>6681.96</v>
      </c>
      <c r="K210" s="16">
        <v>1196</v>
      </c>
      <c r="L210" s="11">
        <f t="shared" si="97"/>
        <v>599.40000000000009</v>
      </c>
      <c r="M210" s="6"/>
    </row>
    <row r="211" spans="1:13" x14ac:dyDescent="0.25">
      <c r="A211" s="6" t="s">
        <v>523</v>
      </c>
      <c r="B211" s="7">
        <f t="shared" ref="B211:B214" ca="1" si="98">$I$1-I211</f>
        <v>160</v>
      </c>
      <c r="C211" s="7"/>
      <c r="D211" s="7"/>
      <c r="E211" s="7"/>
      <c r="F211" s="7" t="s">
        <v>1184</v>
      </c>
      <c r="G211" s="6" t="s">
        <v>524</v>
      </c>
      <c r="H211" s="7" t="s">
        <v>1187</v>
      </c>
      <c r="I211" s="25" t="s">
        <v>36</v>
      </c>
      <c r="J211" s="9">
        <v>4611.96</v>
      </c>
      <c r="K211" s="16">
        <v>1196</v>
      </c>
      <c r="L211" s="6"/>
      <c r="M211" s="11">
        <f t="shared" ref="M211:M212" si="99">K211</f>
        <v>1196</v>
      </c>
    </row>
    <row r="212" spans="1:13" x14ac:dyDescent="0.25">
      <c r="A212" s="6" t="s">
        <v>525</v>
      </c>
      <c r="B212" s="7">
        <f t="shared" ca="1" si="98"/>
        <v>156</v>
      </c>
      <c r="C212" s="7"/>
      <c r="D212" s="7"/>
      <c r="E212" s="7"/>
      <c r="F212" s="7" t="s">
        <v>1184</v>
      </c>
      <c r="G212" s="6" t="s">
        <v>526</v>
      </c>
      <c r="H212" s="7" t="s">
        <v>13</v>
      </c>
      <c r="I212" s="25" t="s">
        <v>41</v>
      </c>
      <c r="J212" s="9">
        <v>4188</v>
      </c>
      <c r="K212" s="16">
        <v>1196</v>
      </c>
      <c r="L212" s="6"/>
      <c r="M212" s="11">
        <f t="shared" si="99"/>
        <v>1196</v>
      </c>
    </row>
    <row r="213" spans="1:13" x14ac:dyDescent="0.25">
      <c r="A213" s="6" t="s">
        <v>527</v>
      </c>
      <c r="B213" s="7">
        <f t="shared" ca="1" si="98"/>
        <v>170</v>
      </c>
      <c r="C213" s="12">
        <v>6</v>
      </c>
      <c r="D213" s="10">
        <v>99.9</v>
      </c>
      <c r="E213" s="10">
        <f t="shared" ref="E213:E214" si="100">D213*C213</f>
        <v>599.40000000000009</v>
      </c>
      <c r="F213" s="7" t="s">
        <v>1184</v>
      </c>
      <c r="G213" s="6" t="s">
        <v>528</v>
      </c>
      <c r="H213" s="7" t="s">
        <v>1188</v>
      </c>
      <c r="I213" s="25" t="s">
        <v>162</v>
      </c>
      <c r="J213" s="9">
        <v>6681.96</v>
      </c>
      <c r="K213" s="16">
        <v>1196</v>
      </c>
      <c r="L213" s="11">
        <f t="shared" ref="L213:L214" si="101">E213</f>
        <v>599.40000000000009</v>
      </c>
      <c r="M213" s="6"/>
    </row>
    <row r="214" spans="1:13" x14ac:dyDescent="0.25">
      <c r="A214" s="6" t="s">
        <v>529</v>
      </c>
      <c r="B214" s="7">
        <f t="shared" ca="1" si="98"/>
        <v>170</v>
      </c>
      <c r="C214" s="12">
        <v>6</v>
      </c>
      <c r="D214" s="10">
        <v>99.9</v>
      </c>
      <c r="E214" s="10">
        <f t="shared" si="100"/>
        <v>599.40000000000009</v>
      </c>
      <c r="F214" s="7" t="s">
        <v>1184</v>
      </c>
      <c r="G214" s="6" t="s">
        <v>530</v>
      </c>
      <c r="H214" s="7" t="s">
        <v>1186</v>
      </c>
      <c r="I214" s="25" t="s">
        <v>162</v>
      </c>
      <c r="J214" s="9">
        <v>7581.96</v>
      </c>
      <c r="K214" s="16">
        <v>1196</v>
      </c>
      <c r="L214" s="11">
        <f t="shared" si="101"/>
        <v>599.40000000000009</v>
      </c>
      <c r="M214" s="6"/>
    </row>
    <row r="215" spans="1:13" x14ac:dyDescent="0.25">
      <c r="A215" s="6" t="s">
        <v>531</v>
      </c>
      <c r="B215" s="7">
        <f ca="1">$I$1-I215</f>
        <v>170</v>
      </c>
      <c r="C215" s="7"/>
      <c r="D215" s="7"/>
      <c r="E215" s="7"/>
      <c r="F215" s="7" t="s">
        <v>1184</v>
      </c>
      <c r="G215" s="6" t="s">
        <v>532</v>
      </c>
      <c r="H215" s="7" t="s">
        <v>1187</v>
      </c>
      <c r="I215" s="25" t="s">
        <v>162</v>
      </c>
      <c r="J215" s="9">
        <v>4611.96</v>
      </c>
      <c r="K215" s="16">
        <v>1196</v>
      </c>
      <c r="L215" s="6"/>
      <c r="M215" s="11">
        <f>K215</f>
        <v>1196</v>
      </c>
    </row>
    <row r="216" spans="1:13" x14ac:dyDescent="0.25">
      <c r="A216" s="6" t="s">
        <v>533</v>
      </c>
      <c r="B216" s="7">
        <f t="shared" ref="B216:B222" ca="1" si="102">$I$1-I216</f>
        <v>172</v>
      </c>
      <c r="C216" s="12">
        <v>6</v>
      </c>
      <c r="D216" s="10">
        <v>99.9</v>
      </c>
      <c r="E216" s="10">
        <f t="shared" ref="E216:E222" si="103">D216*C216</f>
        <v>599.40000000000009</v>
      </c>
      <c r="F216" s="7" t="s">
        <v>1184</v>
      </c>
      <c r="G216" s="6" t="s">
        <v>534</v>
      </c>
      <c r="H216" s="7" t="s">
        <v>1186</v>
      </c>
      <c r="I216" s="25" t="s">
        <v>212</v>
      </c>
      <c r="J216" s="9">
        <v>7581.96</v>
      </c>
      <c r="K216" s="16">
        <v>1196</v>
      </c>
      <c r="L216" s="11">
        <f t="shared" ref="L216:L222" si="104">E216</f>
        <v>599.40000000000009</v>
      </c>
      <c r="M216" s="6"/>
    </row>
    <row r="217" spans="1:13" x14ac:dyDescent="0.25">
      <c r="A217" s="6" t="s">
        <v>535</v>
      </c>
      <c r="B217" s="7">
        <f t="shared" ca="1" si="102"/>
        <v>149</v>
      </c>
      <c r="C217" s="12">
        <v>5</v>
      </c>
      <c r="D217" s="10">
        <v>99.9</v>
      </c>
      <c r="E217" s="10">
        <f t="shared" si="103"/>
        <v>499.5</v>
      </c>
      <c r="F217" s="7" t="s">
        <v>1184</v>
      </c>
      <c r="G217" s="6" t="s">
        <v>536</v>
      </c>
      <c r="H217" s="7" t="s">
        <v>1188</v>
      </c>
      <c r="I217" s="25" t="s">
        <v>157</v>
      </c>
      <c r="J217" s="9">
        <v>6681.96</v>
      </c>
      <c r="K217" s="16">
        <v>1196</v>
      </c>
      <c r="L217" s="11">
        <f t="shared" si="104"/>
        <v>499.5</v>
      </c>
      <c r="M217" s="6"/>
    </row>
    <row r="218" spans="1:13" x14ac:dyDescent="0.25">
      <c r="A218" s="6" t="s">
        <v>537</v>
      </c>
      <c r="B218" s="7">
        <f t="shared" ca="1" si="102"/>
        <v>149</v>
      </c>
      <c r="C218" s="12">
        <v>5</v>
      </c>
      <c r="D218" s="10">
        <v>99.9</v>
      </c>
      <c r="E218" s="10">
        <f t="shared" si="103"/>
        <v>499.5</v>
      </c>
      <c r="F218" s="7" t="s">
        <v>1184</v>
      </c>
      <c r="G218" s="6" t="s">
        <v>538</v>
      </c>
      <c r="H218" s="7" t="s">
        <v>1186</v>
      </c>
      <c r="I218" s="25" t="s">
        <v>157</v>
      </c>
      <c r="J218" s="9">
        <v>7581.96</v>
      </c>
      <c r="K218" s="16">
        <v>1196</v>
      </c>
      <c r="L218" s="11">
        <f t="shared" si="104"/>
        <v>499.5</v>
      </c>
      <c r="M218" s="6"/>
    </row>
    <row r="219" spans="1:13" x14ac:dyDescent="0.25">
      <c r="A219" s="6" t="s">
        <v>539</v>
      </c>
      <c r="B219" s="7">
        <f t="shared" ca="1" si="102"/>
        <v>170</v>
      </c>
      <c r="C219" s="12">
        <v>6</v>
      </c>
      <c r="D219" s="10">
        <v>99.9</v>
      </c>
      <c r="E219" s="10">
        <f t="shared" si="103"/>
        <v>599.40000000000009</v>
      </c>
      <c r="F219" s="7" t="s">
        <v>1184</v>
      </c>
      <c r="G219" s="6" t="s">
        <v>540</v>
      </c>
      <c r="H219" s="7" t="s">
        <v>1188</v>
      </c>
      <c r="I219" s="25" t="s">
        <v>162</v>
      </c>
      <c r="J219" s="9">
        <v>6681.96</v>
      </c>
      <c r="K219" s="16">
        <v>1196</v>
      </c>
      <c r="L219" s="11">
        <f t="shared" si="104"/>
        <v>599.40000000000009</v>
      </c>
      <c r="M219" s="6"/>
    </row>
    <row r="220" spans="1:13" x14ac:dyDescent="0.25">
      <c r="A220" s="6" t="s">
        <v>541</v>
      </c>
      <c r="B220" s="7">
        <f t="shared" ca="1" si="102"/>
        <v>149</v>
      </c>
      <c r="C220" s="12">
        <v>5</v>
      </c>
      <c r="D220" s="10">
        <v>99.9</v>
      </c>
      <c r="E220" s="10">
        <f t="shared" si="103"/>
        <v>499.5</v>
      </c>
      <c r="F220" s="7" t="s">
        <v>1184</v>
      </c>
      <c r="G220" s="6" t="s">
        <v>542</v>
      </c>
      <c r="H220" s="7" t="s">
        <v>1188</v>
      </c>
      <c r="I220" s="25" t="s">
        <v>157</v>
      </c>
      <c r="J220" s="9">
        <v>7881.96</v>
      </c>
      <c r="K220" s="16">
        <v>1196</v>
      </c>
      <c r="L220" s="11">
        <f t="shared" si="104"/>
        <v>499.5</v>
      </c>
      <c r="M220" s="6"/>
    </row>
    <row r="221" spans="1:13" x14ac:dyDescent="0.25">
      <c r="A221" s="6" t="s">
        <v>543</v>
      </c>
      <c r="B221" s="7">
        <f t="shared" ca="1" si="102"/>
        <v>178</v>
      </c>
      <c r="C221" s="12">
        <v>6</v>
      </c>
      <c r="D221" s="10">
        <v>99.9</v>
      </c>
      <c r="E221" s="10">
        <f t="shared" si="103"/>
        <v>599.40000000000009</v>
      </c>
      <c r="F221" s="7" t="s">
        <v>1184</v>
      </c>
      <c r="G221" s="6" t="s">
        <v>544</v>
      </c>
      <c r="H221" s="7" t="s">
        <v>1188</v>
      </c>
      <c r="I221" s="25" t="s">
        <v>165</v>
      </c>
      <c r="J221" s="9">
        <v>6681.96</v>
      </c>
      <c r="K221" s="16">
        <v>1196</v>
      </c>
      <c r="L221" s="11">
        <f t="shared" si="104"/>
        <v>599.40000000000009</v>
      </c>
      <c r="M221" s="6"/>
    </row>
    <row r="222" spans="1:13" x14ac:dyDescent="0.25">
      <c r="A222" s="6" t="s">
        <v>545</v>
      </c>
      <c r="B222" s="7">
        <f t="shared" ca="1" si="102"/>
        <v>124</v>
      </c>
      <c r="C222" s="12">
        <v>4</v>
      </c>
      <c r="D222" s="10">
        <v>99.9</v>
      </c>
      <c r="E222" s="10">
        <f t="shared" si="103"/>
        <v>399.6</v>
      </c>
      <c r="F222" s="7" t="s">
        <v>1184</v>
      </c>
      <c r="G222" s="6" t="s">
        <v>546</v>
      </c>
      <c r="H222" s="7" t="s">
        <v>1186</v>
      </c>
      <c r="I222" s="25" t="s">
        <v>78</v>
      </c>
      <c r="J222" s="9">
        <v>7581.96</v>
      </c>
      <c r="K222" s="16">
        <v>1196</v>
      </c>
      <c r="L222" s="11">
        <f t="shared" si="104"/>
        <v>399.6</v>
      </c>
      <c r="M222" s="6"/>
    </row>
    <row r="223" spans="1:13" x14ac:dyDescent="0.25">
      <c r="A223" s="6" t="s">
        <v>547</v>
      </c>
      <c r="B223" s="7">
        <f t="shared" ref="B223:B224" ca="1" si="105">$I$1-I223</f>
        <v>170</v>
      </c>
      <c r="C223" s="7"/>
      <c r="D223" s="7"/>
      <c r="E223" s="7"/>
      <c r="F223" s="7" t="s">
        <v>1184</v>
      </c>
      <c r="G223" s="6" t="s">
        <v>548</v>
      </c>
      <c r="H223" s="7" t="s">
        <v>13</v>
      </c>
      <c r="I223" s="25" t="s">
        <v>162</v>
      </c>
      <c r="J223" s="9">
        <v>7788</v>
      </c>
      <c r="K223" s="16">
        <v>1196</v>
      </c>
      <c r="L223" s="6"/>
      <c r="M223" s="11">
        <f t="shared" ref="M223:M224" si="106">K223</f>
        <v>1196</v>
      </c>
    </row>
    <row r="224" spans="1:13" x14ac:dyDescent="0.25">
      <c r="A224" s="6" t="s">
        <v>549</v>
      </c>
      <c r="B224" s="7">
        <f t="shared" ca="1" si="105"/>
        <v>164</v>
      </c>
      <c r="C224" s="7"/>
      <c r="D224" s="7"/>
      <c r="E224" s="7"/>
      <c r="F224" s="7" t="s">
        <v>1184</v>
      </c>
      <c r="G224" s="6" t="s">
        <v>550</v>
      </c>
      <c r="H224" s="7" t="s">
        <v>13</v>
      </c>
      <c r="I224" s="25" t="s">
        <v>230</v>
      </c>
      <c r="J224" s="9">
        <v>4188</v>
      </c>
      <c r="K224" s="16">
        <v>1196</v>
      </c>
      <c r="L224" s="6"/>
      <c r="M224" s="11">
        <f t="shared" si="106"/>
        <v>1196</v>
      </c>
    </row>
    <row r="225" spans="1:13" x14ac:dyDescent="0.25">
      <c r="A225" s="6" t="s">
        <v>551</v>
      </c>
      <c r="B225" s="7">
        <f ca="1">$I$1-I225</f>
        <v>164</v>
      </c>
      <c r="C225" s="12">
        <v>5</v>
      </c>
      <c r="D225" s="10">
        <v>99.9</v>
      </c>
      <c r="E225" s="10">
        <f>D225*C225</f>
        <v>499.5</v>
      </c>
      <c r="F225" s="7" t="s">
        <v>1184</v>
      </c>
      <c r="G225" s="6" t="s">
        <v>552</v>
      </c>
      <c r="H225" s="7" t="s">
        <v>1188</v>
      </c>
      <c r="I225" s="25" t="s">
        <v>230</v>
      </c>
      <c r="J225" s="9">
        <v>11481.9</v>
      </c>
      <c r="K225" s="16">
        <v>1196</v>
      </c>
      <c r="L225" s="11">
        <f>E225</f>
        <v>499.5</v>
      </c>
      <c r="M225" s="6"/>
    </row>
    <row r="226" spans="1:13" x14ac:dyDescent="0.25">
      <c r="A226" s="6" t="s">
        <v>553</v>
      </c>
      <c r="B226" s="7">
        <f t="shared" ref="B226:B234" ca="1" si="107">$I$1-I226</f>
        <v>170</v>
      </c>
      <c r="C226" s="7"/>
      <c r="D226" s="7"/>
      <c r="E226" s="7"/>
      <c r="F226" s="7" t="s">
        <v>1184</v>
      </c>
      <c r="G226" s="6" t="s">
        <v>554</v>
      </c>
      <c r="H226" s="7" t="s">
        <v>1187</v>
      </c>
      <c r="I226" s="25" t="s">
        <v>162</v>
      </c>
      <c r="J226" s="9">
        <v>4611.96</v>
      </c>
      <c r="K226" s="16">
        <v>1196</v>
      </c>
      <c r="L226" s="6"/>
      <c r="M226" s="11">
        <f t="shared" ref="M226:M230" si="108">K226</f>
        <v>1196</v>
      </c>
    </row>
    <row r="227" spans="1:13" x14ac:dyDescent="0.25">
      <c r="A227" s="6" t="s">
        <v>555</v>
      </c>
      <c r="B227" s="7">
        <f t="shared" ca="1" si="107"/>
        <v>164</v>
      </c>
      <c r="C227" s="7"/>
      <c r="D227" s="7"/>
      <c r="E227" s="7"/>
      <c r="F227" s="7" t="s">
        <v>1184</v>
      </c>
      <c r="G227" s="6" t="s">
        <v>556</v>
      </c>
      <c r="H227" s="7" t="s">
        <v>1187</v>
      </c>
      <c r="I227" s="25" t="s">
        <v>230</v>
      </c>
      <c r="J227" s="9">
        <v>4611.96</v>
      </c>
      <c r="K227" s="16">
        <v>1196</v>
      </c>
      <c r="L227" s="6"/>
      <c r="M227" s="11">
        <f t="shared" si="108"/>
        <v>1196</v>
      </c>
    </row>
    <row r="228" spans="1:13" x14ac:dyDescent="0.25">
      <c r="A228" s="6" t="s">
        <v>557</v>
      </c>
      <c r="B228" s="7">
        <f t="shared" ca="1" si="107"/>
        <v>172</v>
      </c>
      <c r="C228" s="7"/>
      <c r="D228" s="7"/>
      <c r="E228" s="7"/>
      <c r="F228" s="7" t="s">
        <v>1184</v>
      </c>
      <c r="G228" s="6" t="s">
        <v>558</v>
      </c>
      <c r="H228" s="7" t="s">
        <v>1187</v>
      </c>
      <c r="I228" s="25" t="s">
        <v>212</v>
      </c>
      <c r="J228" s="9">
        <v>5811.96</v>
      </c>
      <c r="K228" s="16">
        <v>1196</v>
      </c>
      <c r="L228" s="6"/>
      <c r="M228" s="11">
        <f t="shared" si="108"/>
        <v>1196</v>
      </c>
    </row>
    <row r="229" spans="1:13" x14ac:dyDescent="0.25">
      <c r="A229" s="6" t="s">
        <v>559</v>
      </c>
      <c r="B229" s="7">
        <f t="shared" ca="1" si="107"/>
        <v>167</v>
      </c>
      <c r="C229" s="7"/>
      <c r="D229" s="7"/>
      <c r="E229" s="7"/>
      <c r="F229" s="7" t="s">
        <v>1184</v>
      </c>
      <c r="G229" s="6" t="s">
        <v>560</v>
      </c>
      <c r="H229" s="7" t="s">
        <v>13</v>
      </c>
      <c r="I229" s="25" t="s">
        <v>201</v>
      </c>
      <c r="J229" s="9">
        <v>4188</v>
      </c>
      <c r="K229" s="16">
        <v>1196</v>
      </c>
      <c r="L229" s="6"/>
      <c r="M229" s="11">
        <f t="shared" si="108"/>
        <v>1196</v>
      </c>
    </row>
    <row r="230" spans="1:13" x14ac:dyDescent="0.25">
      <c r="A230" s="6" t="s">
        <v>561</v>
      </c>
      <c r="B230" s="7">
        <f t="shared" ca="1" si="107"/>
        <v>173</v>
      </c>
      <c r="C230" s="7"/>
      <c r="D230" s="7"/>
      <c r="E230" s="7"/>
      <c r="F230" s="7" t="s">
        <v>1184</v>
      </c>
      <c r="G230" s="6" t="s">
        <v>562</v>
      </c>
      <c r="H230" s="7" t="s">
        <v>1187</v>
      </c>
      <c r="I230" s="25" t="s">
        <v>175</v>
      </c>
      <c r="J230" s="9">
        <v>4611.96</v>
      </c>
      <c r="K230" s="16">
        <v>1196</v>
      </c>
      <c r="L230" s="6"/>
      <c r="M230" s="11">
        <f t="shared" si="108"/>
        <v>1196</v>
      </c>
    </row>
    <row r="231" spans="1:13" x14ac:dyDescent="0.25">
      <c r="A231" s="6" t="s">
        <v>563</v>
      </c>
      <c r="B231" s="7">
        <f t="shared" ca="1" si="107"/>
        <v>163</v>
      </c>
      <c r="C231" s="12">
        <v>5</v>
      </c>
      <c r="D231" s="10">
        <v>99.9</v>
      </c>
      <c r="E231" s="10">
        <f t="shared" ref="E231:E234" si="109">D231*C231</f>
        <v>499.5</v>
      </c>
      <c r="F231" s="7" t="s">
        <v>1184</v>
      </c>
      <c r="G231" s="6" t="s">
        <v>564</v>
      </c>
      <c r="H231" s="7" t="s">
        <v>1188</v>
      </c>
      <c r="I231" s="25" t="s">
        <v>149</v>
      </c>
      <c r="J231" s="9">
        <v>6681.96</v>
      </c>
      <c r="K231" s="16">
        <v>1196</v>
      </c>
      <c r="L231" s="11">
        <f t="shared" ref="L231:L234" si="110">E231</f>
        <v>499.5</v>
      </c>
      <c r="M231" s="6"/>
    </row>
    <row r="232" spans="1:13" x14ac:dyDescent="0.25">
      <c r="A232" s="6" t="s">
        <v>565</v>
      </c>
      <c r="B232" s="7">
        <f t="shared" ca="1" si="107"/>
        <v>161</v>
      </c>
      <c r="C232" s="12">
        <v>5</v>
      </c>
      <c r="D232" s="10">
        <v>99.9</v>
      </c>
      <c r="E232" s="10">
        <f t="shared" si="109"/>
        <v>499.5</v>
      </c>
      <c r="F232" s="7" t="s">
        <v>1184</v>
      </c>
      <c r="G232" s="6" t="s">
        <v>566</v>
      </c>
      <c r="H232" s="7" t="s">
        <v>1188</v>
      </c>
      <c r="I232" s="25" t="s">
        <v>194</v>
      </c>
      <c r="J232" s="9">
        <v>6681.96</v>
      </c>
      <c r="K232" s="16">
        <v>1196</v>
      </c>
      <c r="L232" s="11">
        <f t="shared" si="110"/>
        <v>499.5</v>
      </c>
      <c r="M232" s="6"/>
    </row>
    <row r="233" spans="1:13" x14ac:dyDescent="0.25">
      <c r="A233" s="6" t="s">
        <v>567</v>
      </c>
      <c r="B233" s="7">
        <f t="shared" ca="1" si="107"/>
        <v>178</v>
      </c>
      <c r="C233" s="12">
        <v>6</v>
      </c>
      <c r="D233" s="10">
        <v>99.9</v>
      </c>
      <c r="E233" s="10">
        <f t="shared" si="109"/>
        <v>599.40000000000009</v>
      </c>
      <c r="F233" s="7" t="s">
        <v>1184</v>
      </c>
      <c r="G233" s="6" t="s">
        <v>568</v>
      </c>
      <c r="H233" s="7" t="s">
        <v>1188</v>
      </c>
      <c r="I233" s="25" t="s">
        <v>165</v>
      </c>
      <c r="J233" s="9">
        <v>6681.96</v>
      </c>
      <c r="K233" s="16">
        <v>1196</v>
      </c>
      <c r="L233" s="11">
        <f t="shared" si="110"/>
        <v>599.40000000000009</v>
      </c>
      <c r="M233" s="6"/>
    </row>
    <row r="234" spans="1:13" x14ac:dyDescent="0.25">
      <c r="A234" s="6" t="s">
        <v>569</v>
      </c>
      <c r="B234" s="7">
        <f t="shared" ca="1" si="107"/>
        <v>159</v>
      </c>
      <c r="C234" s="12">
        <v>5</v>
      </c>
      <c r="D234" s="10">
        <v>99.9</v>
      </c>
      <c r="E234" s="10">
        <f t="shared" si="109"/>
        <v>499.5</v>
      </c>
      <c r="F234" s="7" t="s">
        <v>1184</v>
      </c>
      <c r="G234" s="6" t="s">
        <v>570</v>
      </c>
      <c r="H234" s="7" t="s">
        <v>1188</v>
      </c>
      <c r="I234" s="25" t="s">
        <v>229</v>
      </c>
      <c r="J234" s="9">
        <v>6681.96</v>
      </c>
      <c r="K234" s="16">
        <v>1196</v>
      </c>
      <c r="L234" s="11">
        <f t="shared" si="110"/>
        <v>499.5</v>
      </c>
      <c r="M234" s="6"/>
    </row>
    <row r="235" spans="1:13" x14ac:dyDescent="0.25">
      <c r="A235" s="6" t="s">
        <v>571</v>
      </c>
      <c r="B235" s="7">
        <f t="shared" ref="B235:B239" ca="1" si="111">$I$1-I235</f>
        <v>168</v>
      </c>
      <c r="C235" s="7"/>
      <c r="D235" s="7"/>
      <c r="E235" s="7"/>
      <c r="F235" s="7" t="s">
        <v>1184</v>
      </c>
      <c r="G235" s="6" t="s">
        <v>572</v>
      </c>
      <c r="H235" s="7" t="s">
        <v>1187</v>
      </c>
      <c r="I235" s="25" t="s">
        <v>29</v>
      </c>
      <c r="J235" s="9">
        <v>4611.96</v>
      </c>
      <c r="K235" s="16">
        <v>1196</v>
      </c>
      <c r="L235" s="6"/>
      <c r="M235" s="11">
        <f t="shared" ref="M235:M236" si="112">K235</f>
        <v>1196</v>
      </c>
    </row>
    <row r="236" spans="1:13" x14ac:dyDescent="0.25">
      <c r="A236" s="6" t="s">
        <v>573</v>
      </c>
      <c r="B236" s="7">
        <f t="shared" ca="1" si="111"/>
        <v>178</v>
      </c>
      <c r="C236" s="7"/>
      <c r="D236" s="7"/>
      <c r="E236" s="7"/>
      <c r="F236" s="7" t="s">
        <v>1184</v>
      </c>
      <c r="G236" s="6" t="s">
        <v>574</v>
      </c>
      <c r="H236" s="7" t="s">
        <v>1187</v>
      </c>
      <c r="I236" s="25" t="s">
        <v>165</v>
      </c>
      <c r="J236" s="9">
        <v>4611.96</v>
      </c>
      <c r="K236" s="16">
        <v>1196</v>
      </c>
      <c r="L236" s="6"/>
      <c r="M236" s="11">
        <f t="shared" si="112"/>
        <v>1196</v>
      </c>
    </row>
    <row r="237" spans="1:13" x14ac:dyDescent="0.25">
      <c r="A237" s="6" t="s">
        <v>575</v>
      </c>
      <c r="B237" s="7">
        <f t="shared" ca="1" si="111"/>
        <v>154</v>
      </c>
      <c r="C237" s="12">
        <v>5</v>
      </c>
      <c r="D237" s="10">
        <v>99.9</v>
      </c>
      <c r="E237" s="10">
        <f t="shared" ref="E237:E239" si="113">D237*C237</f>
        <v>499.5</v>
      </c>
      <c r="F237" s="7" t="s">
        <v>1184</v>
      </c>
      <c r="G237" s="6" t="s">
        <v>576</v>
      </c>
      <c r="H237" s="7" t="s">
        <v>1188</v>
      </c>
      <c r="I237" s="25" t="s">
        <v>250</v>
      </c>
      <c r="J237" s="9">
        <v>6681.96</v>
      </c>
      <c r="K237" s="16">
        <v>1196</v>
      </c>
      <c r="L237" s="11">
        <f t="shared" ref="L237:L239" si="114">E237</f>
        <v>499.5</v>
      </c>
      <c r="M237" s="6"/>
    </row>
    <row r="238" spans="1:13" x14ac:dyDescent="0.25">
      <c r="A238" s="6" t="s">
        <v>577</v>
      </c>
      <c r="B238" s="7">
        <f t="shared" ca="1" si="111"/>
        <v>153</v>
      </c>
      <c r="C238" s="12">
        <v>5</v>
      </c>
      <c r="D238" s="10">
        <v>99.9</v>
      </c>
      <c r="E238" s="10">
        <f t="shared" si="113"/>
        <v>499.5</v>
      </c>
      <c r="F238" s="7" t="s">
        <v>1184</v>
      </c>
      <c r="G238" s="6" t="s">
        <v>578</v>
      </c>
      <c r="H238" s="7" t="s">
        <v>1188</v>
      </c>
      <c r="I238" s="25" t="s">
        <v>27</v>
      </c>
      <c r="J238" s="9">
        <v>6681.96</v>
      </c>
      <c r="K238" s="16">
        <v>1196</v>
      </c>
      <c r="L238" s="11">
        <f t="shared" si="114"/>
        <v>499.5</v>
      </c>
      <c r="M238" s="6"/>
    </row>
    <row r="239" spans="1:13" x14ac:dyDescent="0.25">
      <c r="A239" s="6" t="s">
        <v>579</v>
      </c>
      <c r="B239" s="7">
        <f t="shared" ca="1" si="111"/>
        <v>133</v>
      </c>
      <c r="C239" s="12">
        <v>4</v>
      </c>
      <c r="D239" s="10">
        <v>99.9</v>
      </c>
      <c r="E239" s="10">
        <f t="shared" si="113"/>
        <v>399.6</v>
      </c>
      <c r="F239" s="7" t="s">
        <v>1184</v>
      </c>
      <c r="G239" s="6" t="s">
        <v>580</v>
      </c>
      <c r="H239" s="7" t="s">
        <v>1188</v>
      </c>
      <c r="I239" s="25" t="s">
        <v>209</v>
      </c>
      <c r="J239" s="9">
        <v>6681.96</v>
      </c>
      <c r="K239" s="16">
        <v>1196</v>
      </c>
      <c r="L239" s="11">
        <f t="shared" si="114"/>
        <v>399.6</v>
      </c>
      <c r="M239" s="6"/>
    </row>
    <row r="240" spans="1:13" x14ac:dyDescent="0.25">
      <c r="A240" s="6" t="s">
        <v>581</v>
      </c>
      <c r="B240" s="6"/>
      <c r="C240" s="6"/>
      <c r="D240" s="6"/>
      <c r="E240" s="6"/>
      <c r="F240" s="7" t="s">
        <v>1184</v>
      </c>
      <c r="G240" s="6" t="s">
        <v>582</v>
      </c>
      <c r="H240" s="7" t="s">
        <v>1189</v>
      </c>
      <c r="I240" s="25" t="s">
        <v>170</v>
      </c>
      <c r="J240" s="9">
        <v>5811.96</v>
      </c>
      <c r="K240" s="16">
        <v>1196</v>
      </c>
      <c r="L240" s="6"/>
      <c r="M240" s="11">
        <f>K240</f>
        <v>1196</v>
      </c>
    </row>
    <row r="241" spans="1:13" x14ac:dyDescent="0.25">
      <c r="A241" s="6" t="s">
        <v>583</v>
      </c>
      <c r="B241" s="7">
        <f ca="1">$I$1-I241</f>
        <v>129</v>
      </c>
      <c r="C241" s="12">
        <v>4</v>
      </c>
      <c r="D241" s="10">
        <v>99.9</v>
      </c>
      <c r="E241" s="10">
        <f>D241*C241</f>
        <v>399.6</v>
      </c>
      <c r="F241" s="7" t="s">
        <v>1184</v>
      </c>
      <c r="G241" s="6" t="s">
        <v>584</v>
      </c>
      <c r="H241" s="7" t="s">
        <v>1186</v>
      </c>
      <c r="I241" s="25" t="s">
        <v>293</v>
      </c>
      <c r="J241" s="9">
        <v>7581.96</v>
      </c>
      <c r="K241" s="16">
        <v>1196</v>
      </c>
      <c r="L241" s="11">
        <f>E241</f>
        <v>399.6</v>
      </c>
      <c r="M241" s="6"/>
    </row>
    <row r="242" spans="1:13" x14ac:dyDescent="0.25">
      <c r="A242" s="6" t="s">
        <v>585</v>
      </c>
      <c r="B242" s="7">
        <f ca="1">$I$1-I242</f>
        <v>159</v>
      </c>
      <c r="C242" s="7"/>
      <c r="D242" s="7"/>
      <c r="E242" s="7"/>
      <c r="F242" s="7" t="s">
        <v>1184</v>
      </c>
      <c r="G242" s="6" t="s">
        <v>586</v>
      </c>
      <c r="H242" s="7" t="s">
        <v>1187</v>
      </c>
      <c r="I242" s="25" t="s">
        <v>229</v>
      </c>
      <c r="J242" s="9">
        <v>5811.96</v>
      </c>
      <c r="K242" s="16">
        <v>1196</v>
      </c>
      <c r="L242" s="6"/>
      <c r="M242" s="11">
        <f>K242</f>
        <v>1196</v>
      </c>
    </row>
    <row r="243" spans="1:13" x14ac:dyDescent="0.25">
      <c r="A243" s="6" t="s">
        <v>587</v>
      </c>
      <c r="B243" s="7">
        <f t="shared" ref="B243:B247" ca="1" si="115">$I$1-I243</f>
        <v>168</v>
      </c>
      <c r="C243" s="12">
        <v>6</v>
      </c>
      <c r="D243" s="10">
        <v>99.9</v>
      </c>
      <c r="E243" s="10">
        <f t="shared" ref="E243:E247" si="116">D243*C243</f>
        <v>599.40000000000009</v>
      </c>
      <c r="F243" s="7" t="s">
        <v>1184</v>
      </c>
      <c r="G243" s="6" t="s">
        <v>588</v>
      </c>
      <c r="H243" s="7" t="s">
        <v>1188</v>
      </c>
      <c r="I243" s="25" t="s">
        <v>29</v>
      </c>
      <c r="J243" s="9">
        <v>6681.96</v>
      </c>
      <c r="K243" s="16">
        <v>1196</v>
      </c>
      <c r="L243" s="11">
        <f t="shared" ref="L243:L247" si="117">E243</f>
        <v>599.40000000000009</v>
      </c>
      <c r="M243" s="6"/>
    </row>
    <row r="244" spans="1:13" x14ac:dyDescent="0.25">
      <c r="A244" s="6" t="s">
        <v>589</v>
      </c>
      <c r="B244" s="7">
        <f t="shared" ca="1" si="115"/>
        <v>178</v>
      </c>
      <c r="C244" s="12">
        <v>6</v>
      </c>
      <c r="D244" s="10">
        <v>99.9</v>
      </c>
      <c r="E244" s="10">
        <f t="shared" si="116"/>
        <v>599.40000000000009</v>
      </c>
      <c r="F244" s="7" t="s">
        <v>1184</v>
      </c>
      <c r="G244" s="6" t="s">
        <v>590</v>
      </c>
      <c r="H244" s="7" t="s">
        <v>1186</v>
      </c>
      <c r="I244" s="25" t="s">
        <v>165</v>
      </c>
      <c r="J244" s="9">
        <v>7581.96</v>
      </c>
      <c r="K244" s="16">
        <v>1196</v>
      </c>
      <c r="L244" s="11">
        <f t="shared" si="117"/>
        <v>599.40000000000009</v>
      </c>
      <c r="M244" s="6"/>
    </row>
    <row r="245" spans="1:13" x14ac:dyDescent="0.25">
      <c r="A245" s="6" t="s">
        <v>591</v>
      </c>
      <c r="B245" s="7">
        <f t="shared" ca="1" si="115"/>
        <v>178</v>
      </c>
      <c r="C245" s="12">
        <v>6</v>
      </c>
      <c r="D245" s="10">
        <v>99.9</v>
      </c>
      <c r="E245" s="10">
        <f t="shared" si="116"/>
        <v>599.40000000000009</v>
      </c>
      <c r="F245" s="7" t="s">
        <v>1184</v>
      </c>
      <c r="G245" s="6" t="s">
        <v>592</v>
      </c>
      <c r="H245" s="7" t="s">
        <v>1186</v>
      </c>
      <c r="I245" s="25" t="s">
        <v>165</v>
      </c>
      <c r="J245" s="9">
        <v>7581.96</v>
      </c>
      <c r="K245" s="16">
        <v>1196</v>
      </c>
      <c r="L245" s="11">
        <f t="shared" si="117"/>
        <v>599.40000000000009</v>
      </c>
      <c r="M245" s="6"/>
    </row>
    <row r="246" spans="1:13" x14ac:dyDescent="0.25">
      <c r="A246" s="6" t="s">
        <v>593</v>
      </c>
      <c r="B246" s="7">
        <f t="shared" ca="1" si="115"/>
        <v>178</v>
      </c>
      <c r="C246" s="12">
        <v>6</v>
      </c>
      <c r="D246" s="10">
        <v>99.9</v>
      </c>
      <c r="E246" s="10">
        <f t="shared" si="116"/>
        <v>599.40000000000009</v>
      </c>
      <c r="F246" s="7" t="s">
        <v>1184</v>
      </c>
      <c r="G246" s="6" t="s">
        <v>594</v>
      </c>
      <c r="H246" s="7" t="s">
        <v>1188</v>
      </c>
      <c r="I246" s="25" t="s">
        <v>165</v>
      </c>
      <c r="J246" s="9">
        <v>6681.96</v>
      </c>
      <c r="K246" s="16">
        <v>1196</v>
      </c>
      <c r="L246" s="11">
        <f t="shared" si="117"/>
        <v>599.40000000000009</v>
      </c>
      <c r="M246" s="6"/>
    </row>
    <row r="247" spans="1:13" x14ac:dyDescent="0.25">
      <c r="A247" s="6" t="s">
        <v>595</v>
      </c>
      <c r="B247" s="7">
        <f t="shared" ca="1" si="115"/>
        <v>137</v>
      </c>
      <c r="C247" s="12">
        <v>5</v>
      </c>
      <c r="D247" s="10">
        <v>99.9</v>
      </c>
      <c r="E247" s="10">
        <f t="shared" si="116"/>
        <v>499.5</v>
      </c>
      <c r="F247" s="7" t="s">
        <v>1184</v>
      </c>
      <c r="G247" s="6" t="s">
        <v>596</v>
      </c>
      <c r="H247" s="7" t="s">
        <v>1186</v>
      </c>
      <c r="I247" s="25" t="s">
        <v>66</v>
      </c>
      <c r="J247" s="9">
        <v>7581.96</v>
      </c>
      <c r="K247" s="16">
        <v>1196</v>
      </c>
      <c r="L247" s="11">
        <f t="shared" si="117"/>
        <v>499.5</v>
      </c>
      <c r="M247" s="6"/>
    </row>
    <row r="248" spans="1:13" x14ac:dyDescent="0.25">
      <c r="A248" s="6" t="s">
        <v>597</v>
      </c>
      <c r="B248" s="7">
        <f t="shared" ref="B248:B252" ca="1" si="118">$I$1-I248</f>
        <v>130</v>
      </c>
      <c r="C248" s="7"/>
      <c r="D248" s="7"/>
      <c r="E248" s="7"/>
      <c r="F248" s="7" t="s">
        <v>1184</v>
      </c>
      <c r="G248" s="6" t="s">
        <v>598</v>
      </c>
      <c r="H248" s="7" t="s">
        <v>1187</v>
      </c>
      <c r="I248" s="25" t="s">
        <v>319</v>
      </c>
      <c r="J248" s="9">
        <v>4611.96</v>
      </c>
      <c r="K248" s="16">
        <v>1196</v>
      </c>
      <c r="L248" s="6"/>
      <c r="M248" s="11">
        <f t="shared" ref="M248:M252" si="119">K248</f>
        <v>1196</v>
      </c>
    </row>
    <row r="249" spans="1:13" x14ac:dyDescent="0.25">
      <c r="A249" s="6" t="s">
        <v>599</v>
      </c>
      <c r="B249" s="7">
        <f t="shared" ca="1" si="118"/>
        <v>165</v>
      </c>
      <c r="C249" s="7"/>
      <c r="D249" s="7"/>
      <c r="E249" s="7"/>
      <c r="F249" s="7" t="s">
        <v>1184</v>
      </c>
      <c r="G249" s="6" t="s">
        <v>600</v>
      </c>
      <c r="H249" s="7" t="s">
        <v>13</v>
      </c>
      <c r="I249" s="25" t="s">
        <v>150</v>
      </c>
      <c r="J249" s="9">
        <v>4188</v>
      </c>
      <c r="K249" s="16">
        <v>1196</v>
      </c>
      <c r="L249" s="6"/>
      <c r="M249" s="11">
        <f t="shared" si="119"/>
        <v>1196</v>
      </c>
    </row>
    <row r="250" spans="1:13" x14ac:dyDescent="0.25">
      <c r="A250" s="6" t="s">
        <v>601</v>
      </c>
      <c r="B250" s="7">
        <f t="shared" ca="1" si="118"/>
        <v>157</v>
      </c>
      <c r="C250" s="7"/>
      <c r="D250" s="7"/>
      <c r="E250" s="7"/>
      <c r="F250" s="7" t="s">
        <v>1184</v>
      </c>
      <c r="G250" s="6" t="s">
        <v>602</v>
      </c>
      <c r="H250" s="7" t="s">
        <v>1187</v>
      </c>
      <c r="I250" s="25" t="s">
        <v>603</v>
      </c>
      <c r="J250" s="9">
        <v>4611.96</v>
      </c>
      <c r="K250" s="16">
        <v>1196</v>
      </c>
      <c r="L250" s="6"/>
      <c r="M250" s="11">
        <f t="shared" si="119"/>
        <v>1196</v>
      </c>
    </row>
    <row r="251" spans="1:13" x14ac:dyDescent="0.25">
      <c r="A251" s="6" t="s">
        <v>604</v>
      </c>
      <c r="B251" s="7">
        <f t="shared" ca="1" si="118"/>
        <v>105</v>
      </c>
      <c r="C251" s="7"/>
      <c r="D251" s="7"/>
      <c r="E251" s="7"/>
      <c r="F251" s="7" t="s">
        <v>1184</v>
      </c>
      <c r="G251" s="6" t="s">
        <v>605</v>
      </c>
      <c r="H251" s="7" t="s">
        <v>1187</v>
      </c>
      <c r="I251" s="25" t="s">
        <v>99</v>
      </c>
      <c r="J251" s="9">
        <v>4611.96</v>
      </c>
      <c r="K251" s="16">
        <v>1196</v>
      </c>
      <c r="L251" s="6"/>
      <c r="M251" s="11">
        <f t="shared" si="119"/>
        <v>1196</v>
      </c>
    </row>
    <row r="252" spans="1:13" x14ac:dyDescent="0.25">
      <c r="A252" s="6" t="s">
        <v>606</v>
      </c>
      <c r="B252" s="7">
        <f t="shared" ca="1" si="118"/>
        <v>169</v>
      </c>
      <c r="C252" s="7"/>
      <c r="D252" s="7"/>
      <c r="E252" s="7"/>
      <c r="F252" s="7" t="s">
        <v>1184</v>
      </c>
      <c r="G252" s="6" t="s">
        <v>607</v>
      </c>
      <c r="H252" s="7" t="s">
        <v>1187</v>
      </c>
      <c r="I252" s="25" t="s">
        <v>153</v>
      </c>
      <c r="J252" s="9">
        <v>4611.96</v>
      </c>
      <c r="K252" s="16">
        <v>1196</v>
      </c>
      <c r="L252" s="6"/>
      <c r="M252" s="11">
        <f t="shared" si="119"/>
        <v>1196</v>
      </c>
    </row>
    <row r="253" spans="1:13" x14ac:dyDescent="0.25">
      <c r="A253" s="6" t="s">
        <v>608</v>
      </c>
      <c r="B253" s="7">
        <f ca="1">$I$1-I253</f>
        <v>131</v>
      </c>
      <c r="C253" s="12">
        <v>4</v>
      </c>
      <c r="D253" s="10">
        <v>99.9</v>
      </c>
      <c r="E253" s="10">
        <f>D253*C253</f>
        <v>399.6</v>
      </c>
      <c r="F253" s="7" t="s">
        <v>1184</v>
      </c>
      <c r="G253" s="6" t="s">
        <v>609</v>
      </c>
      <c r="H253" s="7" t="s">
        <v>1186</v>
      </c>
      <c r="I253" s="25" t="s">
        <v>6</v>
      </c>
      <c r="J253" s="9">
        <v>7581.96</v>
      </c>
      <c r="K253" s="16">
        <v>1196</v>
      </c>
      <c r="L253" s="11">
        <f>E253</f>
        <v>399.6</v>
      </c>
      <c r="M253" s="6"/>
    </row>
    <row r="254" spans="1:13" x14ac:dyDescent="0.25">
      <c r="A254" s="6" t="s">
        <v>610</v>
      </c>
      <c r="B254" s="7">
        <f t="shared" ref="B254:B258" ca="1" si="120">$I$1-I254</f>
        <v>144</v>
      </c>
      <c r="C254" s="7"/>
      <c r="D254" s="7"/>
      <c r="E254" s="7"/>
      <c r="F254" s="7" t="s">
        <v>1184</v>
      </c>
      <c r="G254" s="6" t="s">
        <v>611</v>
      </c>
      <c r="H254" s="7" t="s">
        <v>13</v>
      </c>
      <c r="I254" s="25" t="s">
        <v>612</v>
      </c>
      <c r="J254" s="9">
        <v>4188</v>
      </c>
      <c r="K254" s="16">
        <v>1196</v>
      </c>
      <c r="L254" s="6"/>
      <c r="M254" s="11">
        <f t="shared" ref="M254:M255" si="121">K254</f>
        <v>1196</v>
      </c>
    </row>
    <row r="255" spans="1:13" x14ac:dyDescent="0.25">
      <c r="A255" s="6" t="s">
        <v>613</v>
      </c>
      <c r="B255" s="7">
        <f t="shared" ca="1" si="120"/>
        <v>170</v>
      </c>
      <c r="C255" s="7"/>
      <c r="D255" s="7"/>
      <c r="E255" s="7"/>
      <c r="F255" s="7" t="s">
        <v>1184</v>
      </c>
      <c r="G255" s="6" t="s">
        <v>614</v>
      </c>
      <c r="H255" s="7" t="s">
        <v>1187</v>
      </c>
      <c r="I255" s="25" t="s">
        <v>162</v>
      </c>
      <c r="J255" s="9">
        <v>4611.96</v>
      </c>
      <c r="K255" s="16">
        <v>1196</v>
      </c>
      <c r="L255" s="6"/>
      <c r="M255" s="11">
        <f t="shared" si="121"/>
        <v>1196</v>
      </c>
    </row>
    <row r="256" spans="1:13" x14ac:dyDescent="0.25">
      <c r="A256" s="6" t="s">
        <v>615</v>
      </c>
      <c r="B256" s="7">
        <f t="shared" ca="1" si="120"/>
        <v>131</v>
      </c>
      <c r="C256" s="12">
        <v>4</v>
      </c>
      <c r="D256" s="10">
        <v>99.9</v>
      </c>
      <c r="E256" s="10">
        <f t="shared" ref="E256:E258" si="122">D256*C256</f>
        <v>399.6</v>
      </c>
      <c r="F256" s="7" t="s">
        <v>1184</v>
      </c>
      <c r="G256" s="6" t="s">
        <v>616</v>
      </c>
      <c r="H256" s="7" t="s">
        <v>1186</v>
      </c>
      <c r="I256" s="25" t="s">
        <v>6</v>
      </c>
      <c r="J256" s="9">
        <v>7581.96</v>
      </c>
      <c r="K256" s="16">
        <v>1196</v>
      </c>
      <c r="L256" s="11">
        <f t="shared" ref="L256:L258" si="123">E256</f>
        <v>399.6</v>
      </c>
      <c r="M256" s="6"/>
    </row>
    <row r="257" spans="1:13" x14ac:dyDescent="0.25">
      <c r="A257" s="6" t="s">
        <v>617</v>
      </c>
      <c r="B257" s="7">
        <f t="shared" ca="1" si="120"/>
        <v>161</v>
      </c>
      <c r="C257" s="12">
        <v>5</v>
      </c>
      <c r="D257" s="10">
        <v>99.9</v>
      </c>
      <c r="E257" s="10">
        <f t="shared" si="122"/>
        <v>499.5</v>
      </c>
      <c r="F257" s="7" t="s">
        <v>1184</v>
      </c>
      <c r="G257" s="6" t="s">
        <v>618</v>
      </c>
      <c r="H257" s="7" t="s">
        <v>1188</v>
      </c>
      <c r="I257" s="25" t="s">
        <v>194</v>
      </c>
      <c r="J257" s="9">
        <v>6681.96</v>
      </c>
      <c r="K257" s="16">
        <v>1196</v>
      </c>
      <c r="L257" s="11">
        <f t="shared" si="123"/>
        <v>499.5</v>
      </c>
      <c r="M257" s="6"/>
    </row>
    <row r="258" spans="1:13" x14ac:dyDescent="0.25">
      <c r="A258" s="6" t="s">
        <v>619</v>
      </c>
      <c r="B258" s="7">
        <f t="shared" ca="1" si="120"/>
        <v>159</v>
      </c>
      <c r="C258" s="12">
        <v>5</v>
      </c>
      <c r="D258" s="10">
        <v>99.9</v>
      </c>
      <c r="E258" s="10">
        <f t="shared" si="122"/>
        <v>499.5</v>
      </c>
      <c r="F258" s="7" t="s">
        <v>1184</v>
      </c>
      <c r="G258" s="6" t="s">
        <v>620</v>
      </c>
      <c r="H258" s="7" t="s">
        <v>1188</v>
      </c>
      <c r="I258" s="25" t="s">
        <v>229</v>
      </c>
      <c r="J258" s="9">
        <v>7881.96</v>
      </c>
      <c r="K258" s="16">
        <v>1196</v>
      </c>
      <c r="L258" s="11">
        <f t="shared" si="123"/>
        <v>499.5</v>
      </c>
      <c r="M258" s="6"/>
    </row>
    <row r="259" spans="1:13" x14ac:dyDescent="0.25">
      <c r="A259" s="6" t="s">
        <v>621</v>
      </c>
      <c r="B259" s="7">
        <f t="shared" ref="B259:B265" ca="1" si="124">$I$1-I259</f>
        <v>177</v>
      </c>
      <c r="C259" s="7"/>
      <c r="D259" s="7"/>
      <c r="E259" s="7"/>
      <c r="F259" s="7" t="s">
        <v>1184</v>
      </c>
      <c r="G259" s="6" t="s">
        <v>622</v>
      </c>
      <c r="H259" s="7" t="s">
        <v>13</v>
      </c>
      <c r="I259" s="25" t="s">
        <v>185</v>
      </c>
      <c r="J259" s="9">
        <v>4188</v>
      </c>
      <c r="K259" s="16">
        <v>1196</v>
      </c>
      <c r="L259" s="6"/>
      <c r="M259" s="11">
        <f t="shared" ref="M259:M260" si="125">K259</f>
        <v>1196</v>
      </c>
    </row>
    <row r="260" spans="1:13" x14ac:dyDescent="0.25">
      <c r="A260" s="6" t="s">
        <v>623</v>
      </c>
      <c r="B260" s="7">
        <f t="shared" ca="1" si="124"/>
        <v>177</v>
      </c>
      <c r="C260" s="7"/>
      <c r="D260" s="7"/>
      <c r="E260" s="7"/>
      <c r="F260" s="7" t="s">
        <v>1184</v>
      </c>
      <c r="G260" s="6" t="s">
        <v>624</v>
      </c>
      <c r="H260" s="7" t="s">
        <v>1187</v>
      </c>
      <c r="I260" s="25" t="s">
        <v>185</v>
      </c>
      <c r="J260" s="9">
        <v>5811.96</v>
      </c>
      <c r="K260" s="16">
        <v>1196</v>
      </c>
      <c r="L260" s="6"/>
      <c r="M260" s="11">
        <f t="shared" si="125"/>
        <v>1196</v>
      </c>
    </row>
    <row r="261" spans="1:13" x14ac:dyDescent="0.25">
      <c r="A261" s="6" t="s">
        <v>625</v>
      </c>
      <c r="B261" s="7">
        <f t="shared" ca="1" si="124"/>
        <v>129</v>
      </c>
      <c r="C261" s="12">
        <v>4</v>
      </c>
      <c r="D261" s="10">
        <v>99.9</v>
      </c>
      <c r="E261" s="10">
        <f t="shared" ref="E261:E265" si="126">D261*C261</f>
        <v>399.6</v>
      </c>
      <c r="F261" s="7" t="s">
        <v>1184</v>
      </c>
      <c r="G261" s="6" t="s">
        <v>626</v>
      </c>
      <c r="H261" s="7" t="s">
        <v>1186</v>
      </c>
      <c r="I261" s="25" t="s">
        <v>293</v>
      </c>
      <c r="J261" s="9">
        <v>7581.96</v>
      </c>
      <c r="K261" s="16">
        <v>1196</v>
      </c>
      <c r="L261" s="11">
        <f t="shared" ref="L261:L265" si="127">E261</f>
        <v>399.6</v>
      </c>
      <c r="M261" s="6"/>
    </row>
    <row r="262" spans="1:13" x14ac:dyDescent="0.25">
      <c r="A262" s="6" t="s">
        <v>627</v>
      </c>
      <c r="B262" s="7">
        <f t="shared" ca="1" si="124"/>
        <v>137</v>
      </c>
      <c r="C262" s="12">
        <v>5</v>
      </c>
      <c r="D262" s="10">
        <v>99.9</v>
      </c>
      <c r="E262" s="10">
        <f t="shared" si="126"/>
        <v>499.5</v>
      </c>
      <c r="F262" s="7" t="s">
        <v>1184</v>
      </c>
      <c r="G262" s="6" t="s">
        <v>628</v>
      </c>
      <c r="H262" s="7" t="s">
        <v>1188</v>
      </c>
      <c r="I262" s="25" t="s">
        <v>66</v>
      </c>
      <c r="J262" s="9">
        <v>6681.96</v>
      </c>
      <c r="K262" s="16">
        <v>1196</v>
      </c>
      <c r="L262" s="11">
        <f t="shared" si="127"/>
        <v>499.5</v>
      </c>
      <c r="M262" s="6"/>
    </row>
    <row r="263" spans="1:13" x14ac:dyDescent="0.25">
      <c r="A263" s="6" t="s">
        <v>629</v>
      </c>
      <c r="B263" s="7">
        <f t="shared" ca="1" si="124"/>
        <v>138</v>
      </c>
      <c r="C263" s="12">
        <v>5</v>
      </c>
      <c r="D263" s="10">
        <v>99.9</v>
      </c>
      <c r="E263" s="10">
        <f t="shared" si="126"/>
        <v>499.5</v>
      </c>
      <c r="F263" s="7" t="s">
        <v>1184</v>
      </c>
      <c r="G263" s="6" t="s">
        <v>630</v>
      </c>
      <c r="H263" s="7" t="s">
        <v>1186</v>
      </c>
      <c r="I263" s="25" t="s">
        <v>59</v>
      </c>
      <c r="J263" s="9">
        <v>7581.96</v>
      </c>
      <c r="K263" s="16">
        <v>1196</v>
      </c>
      <c r="L263" s="11">
        <f t="shared" si="127"/>
        <v>499.5</v>
      </c>
      <c r="M263" s="6"/>
    </row>
    <row r="264" spans="1:13" x14ac:dyDescent="0.25">
      <c r="A264" s="6" t="s">
        <v>631</v>
      </c>
      <c r="B264" s="7">
        <f t="shared" ca="1" si="124"/>
        <v>154</v>
      </c>
      <c r="C264" s="12">
        <v>5</v>
      </c>
      <c r="D264" s="10">
        <v>99.9</v>
      </c>
      <c r="E264" s="10">
        <f t="shared" si="126"/>
        <v>499.5</v>
      </c>
      <c r="F264" s="7" t="s">
        <v>1184</v>
      </c>
      <c r="G264" s="6" t="s">
        <v>632</v>
      </c>
      <c r="H264" s="7" t="s">
        <v>1188</v>
      </c>
      <c r="I264" s="25" t="s">
        <v>250</v>
      </c>
      <c r="J264" s="9">
        <v>6681.96</v>
      </c>
      <c r="K264" s="16">
        <v>1196</v>
      </c>
      <c r="L264" s="11">
        <f t="shared" si="127"/>
        <v>499.5</v>
      </c>
      <c r="M264" s="6"/>
    </row>
    <row r="265" spans="1:13" x14ac:dyDescent="0.25">
      <c r="A265" s="6" t="s">
        <v>633</v>
      </c>
      <c r="B265" s="7">
        <f t="shared" ca="1" si="124"/>
        <v>164</v>
      </c>
      <c r="C265" s="12">
        <v>5</v>
      </c>
      <c r="D265" s="10">
        <v>99.9</v>
      </c>
      <c r="E265" s="10">
        <f t="shared" si="126"/>
        <v>499.5</v>
      </c>
      <c r="F265" s="7" t="s">
        <v>1184</v>
      </c>
      <c r="G265" s="6" t="s">
        <v>634</v>
      </c>
      <c r="H265" s="7" t="s">
        <v>1188</v>
      </c>
      <c r="I265" s="25" t="s">
        <v>230</v>
      </c>
      <c r="J265" s="9">
        <v>6681.96</v>
      </c>
      <c r="K265" s="16">
        <v>1196</v>
      </c>
      <c r="L265" s="11">
        <f t="shared" si="127"/>
        <v>499.5</v>
      </c>
      <c r="M265" s="6"/>
    </row>
    <row r="266" spans="1:13" x14ac:dyDescent="0.25">
      <c r="A266" s="6" t="s">
        <v>635</v>
      </c>
      <c r="B266" s="7">
        <f ca="1">$I$1-I266</f>
        <v>167</v>
      </c>
      <c r="C266" s="7"/>
      <c r="D266" s="7"/>
      <c r="E266" s="7"/>
      <c r="F266" s="7" t="s">
        <v>1184</v>
      </c>
      <c r="G266" s="6" t="s">
        <v>636</v>
      </c>
      <c r="H266" s="7" t="s">
        <v>1187</v>
      </c>
      <c r="I266" s="25" t="s">
        <v>201</v>
      </c>
      <c r="J266" s="9">
        <v>4611.96</v>
      </c>
      <c r="K266" s="16">
        <v>1196</v>
      </c>
      <c r="L266" s="6"/>
      <c r="M266" s="11">
        <f>K266</f>
        <v>1196</v>
      </c>
    </row>
    <row r="267" spans="1:13" x14ac:dyDescent="0.25">
      <c r="A267" s="6" t="s">
        <v>637</v>
      </c>
      <c r="B267" s="7">
        <f t="shared" ref="B267:B268" ca="1" si="128">$I$1-I267</f>
        <v>170</v>
      </c>
      <c r="C267" s="12">
        <v>6</v>
      </c>
      <c r="D267" s="10">
        <v>99.9</v>
      </c>
      <c r="E267" s="10">
        <f t="shared" ref="E267:E268" si="129">D267*C267</f>
        <v>599.40000000000009</v>
      </c>
      <c r="F267" s="7" t="s">
        <v>1184</v>
      </c>
      <c r="G267" s="6" t="s">
        <v>638</v>
      </c>
      <c r="H267" s="7" t="s">
        <v>1188</v>
      </c>
      <c r="I267" s="25" t="s">
        <v>162</v>
      </c>
      <c r="J267" s="9">
        <v>6681.96</v>
      </c>
      <c r="K267" s="16">
        <v>1196</v>
      </c>
      <c r="L267" s="11">
        <f t="shared" ref="L267:L268" si="130">E267</f>
        <v>599.40000000000009</v>
      </c>
      <c r="M267" s="6"/>
    </row>
    <row r="268" spans="1:13" x14ac:dyDescent="0.25">
      <c r="A268" s="6" t="s">
        <v>639</v>
      </c>
      <c r="B268" s="7">
        <f t="shared" ca="1" si="128"/>
        <v>149</v>
      </c>
      <c r="C268" s="12">
        <v>5</v>
      </c>
      <c r="D268" s="10">
        <v>99.9</v>
      </c>
      <c r="E268" s="10">
        <f t="shared" si="129"/>
        <v>499.5</v>
      </c>
      <c r="F268" s="7" t="s">
        <v>1184</v>
      </c>
      <c r="G268" s="6" t="s">
        <v>640</v>
      </c>
      <c r="H268" s="7" t="s">
        <v>1188</v>
      </c>
      <c r="I268" s="25" t="s">
        <v>157</v>
      </c>
      <c r="J268" s="9">
        <v>9082.02</v>
      </c>
      <c r="K268" s="16">
        <v>1196</v>
      </c>
      <c r="L268" s="11">
        <f t="shared" si="130"/>
        <v>499.5</v>
      </c>
      <c r="M268" s="6"/>
    </row>
    <row r="269" spans="1:13" x14ac:dyDescent="0.25">
      <c r="A269" s="6" t="s">
        <v>641</v>
      </c>
      <c r="B269" s="7">
        <f ca="1">$I$1-I269</f>
        <v>148</v>
      </c>
      <c r="C269" s="7"/>
      <c r="D269" s="7"/>
      <c r="E269" s="7"/>
      <c r="F269" s="7" t="s">
        <v>1184</v>
      </c>
      <c r="G269" s="6" t="s">
        <v>642</v>
      </c>
      <c r="H269" s="7" t="s">
        <v>1187</v>
      </c>
      <c r="I269" s="25" t="s">
        <v>254</v>
      </c>
      <c r="J269" s="9">
        <v>4611.96</v>
      </c>
      <c r="K269" s="16">
        <v>1196</v>
      </c>
      <c r="L269" s="6"/>
      <c r="M269" s="11">
        <f>K269</f>
        <v>1196</v>
      </c>
    </row>
    <row r="270" spans="1:13" x14ac:dyDescent="0.25">
      <c r="A270" s="6" t="s">
        <v>643</v>
      </c>
      <c r="B270" s="7">
        <f t="shared" ref="B270:B274" ca="1" si="131">$I$1-I270</f>
        <v>164</v>
      </c>
      <c r="C270" s="12">
        <v>5</v>
      </c>
      <c r="D270" s="10">
        <v>99.9</v>
      </c>
      <c r="E270" s="10">
        <f t="shared" ref="E270:E274" si="132">D270*C270</f>
        <v>499.5</v>
      </c>
      <c r="F270" s="7" t="s">
        <v>1184</v>
      </c>
      <c r="G270" s="6" t="s">
        <v>644</v>
      </c>
      <c r="H270" s="7" t="s">
        <v>1188</v>
      </c>
      <c r="I270" s="25" t="s">
        <v>230</v>
      </c>
      <c r="J270" s="9">
        <v>6681.96</v>
      </c>
      <c r="K270" s="16">
        <v>1196</v>
      </c>
      <c r="L270" s="11">
        <f t="shared" ref="L270:L274" si="133">E270</f>
        <v>499.5</v>
      </c>
      <c r="M270" s="6"/>
    </row>
    <row r="271" spans="1:13" x14ac:dyDescent="0.25">
      <c r="A271" s="6" t="s">
        <v>645</v>
      </c>
      <c r="B271" s="7">
        <f t="shared" ca="1" si="131"/>
        <v>161</v>
      </c>
      <c r="C271" s="12">
        <v>5</v>
      </c>
      <c r="D271" s="10">
        <v>99.9</v>
      </c>
      <c r="E271" s="10">
        <f t="shared" si="132"/>
        <v>499.5</v>
      </c>
      <c r="F271" s="7" t="s">
        <v>1184</v>
      </c>
      <c r="G271" s="6" t="s">
        <v>646</v>
      </c>
      <c r="H271" s="7" t="s">
        <v>1188</v>
      </c>
      <c r="I271" s="25" t="s">
        <v>194</v>
      </c>
      <c r="J271" s="9">
        <v>6681.96</v>
      </c>
      <c r="K271" s="16">
        <v>1196</v>
      </c>
      <c r="L271" s="11">
        <f t="shared" si="133"/>
        <v>499.5</v>
      </c>
      <c r="M271" s="6"/>
    </row>
    <row r="272" spans="1:13" x14ac:dyDescent="0.25">
      <c r="A272" s="6" t="s">
        <v>647</v>
      </c>
      <c r="B272" s="7">
        <f t="shared" ca="1" si="131"/>
        <v>170</v>
      </c>
      <c r="C272" s="12">
        <v>6</v>
      </c>
      <c r="D272" s="10">
        <v>99.9</v>
      </c>
      <c r="E272" s="10">
        <f t="shared" si="132"/>
        <v>599.40000000000009</v>
      </c>
      <c r="F272" s="7" t="s">
        <v>1184</v>
      </c>
      <c r="G272" s="6" t="s">
        <v>648</v>
      </c>
      <c r="H272" s="7" t="s">
        <v>1188</v>
      </c>
      <c r="I272" s="25" t="s">
        <v>162</v>
      </c>
      <c r="J272" s="9">
        <v>6681.96</v>
      </c>
      <c r="K272" s="16">
        <v>1196</v>
      </c>
      <c r="L272" s="11">
        <f t="shared" si="133"/>
        <v>599.40000000000009</v>
      </c>
      <c r="M272" s="6"/>
    </row>
    <row r="273" spans="1:13" x14ac:dyDescent="0.25">
      <c r="A273" s="6" t="s">
        <v>649</v>
      </c>
      <c r="B273" s="7">
        <f t="shared" ca="1" si="131"/>
        <v>137</v>
      </c>
      <c r="C273" s="12">
        <v>5</v>
      </c>
      <c r="D273" s="10">
        <v>99.9</v>
      </c>
      <c r="E273" s="10">
        <f t="shared" si="132"/>
        <v>499.5</v>
      </c>
      <c r="F273" s="7" t="s">
        <v>1184</v>
      </c>
      <c r="G273" s="6" t="s">
        <v>650</v>
      </c>
      <c r="H273" s="7" t="s">
        <v>1188</v>
      </c>
      <c r="I273" s="25" t="s">
        <v>66</v>
      </c>
      <c r="J273" s="9">
        <v>6681.96</v>
      </c>
      <c r="K273" s="16">
        <v>1196</v>
      </c>
      <c r="L273" s="11">
        <f t="shared" si="133"/>
        <v>499.5</v>
      </c>
      <c r="M273" s="6"/>
    </row>
    <row r="274" spans="1:13" x14ac:dyDescent="0.25">
      <c r="A274" s="6" t="s">
        <v>651</v>
      </c>
      <c r="B274" s="7">
        <f t="shared" ca="1" si="131"/>
        <v>159</v>
      </c>
      <c r="C274" s="12">
        <v>5</v>
      </c>
      <c r="D274" s="10">
        <v>99.9</v>
      </c>
      <c r="E274" s="10">
        <f t="shared" si="132"/>
        <v>499.5</v>
      </c>
      <c r="F274" s="7" t="s">
        <v>1184</v>
      </c>
      <c r="G274" s="6" t="s">
        <v>652</v>
      </c>
      <c r="H274" s="7" t="s">
        <v>1188</v>
      </c>
      <c r="I274" s="25" t="s">
        <v>229</v>
      </c>
      <c r="J274" s="9">
        <v>7881.96</v>
      </c>
      <c r="K274" s="16">
        <v>1196</v>
      </c>
      <c r="L274" s="11">
        <f t="shared" si="133"/>
        <v>499.5</v>
      </c>
      <c r="M274" s="6"/>
    </row>
    <row r="275" spans="1:13" x14ac:dyDescent="0.25">
      <c r="A275" s="6" t="s">
        <v>653</v>
      </c>
      <c r="B275" s="7">
        <f ca="1">$I$1-I275</f>
        <v>149</v>
      </c>
      <c r="C275" s="7"/>
      <c r="D275" s="7"/>
      <c r="E275" s="7"/>
      <c r="F275" s="7" t="s">
        <v>1184</v>
      </c>
      <c r="G275" s="6" t="s">
        <v>654</v>
      </c>
      <c r="H275" s="7" t="s">
        <v>1187</v>
      </c>
      <c r="I275" s="25" t="s">
        <v>157</v>
      </c>
      <c r="J275" s="9">
        <v>4611.96</v>
      </c>
      <c r="K275" s="16">
        <v>1196</v>
      </c>
      <c r="L275" s="6"/>
      <c r="M275" s="11">
        <f>K275</f>
        <v>1196</v>
      </c>
    </row>
    <row r="276" spans="1:13" x14ac:dyDescent="0.25">
      <c r="A276" s="6" t="s">
        <v>655</v>
      </c>
      <c r="B276" s="7">
        <f t="shared" ref="B276:B282" ca="1" si="134">$I$1-I276</f>
        <v>160</v>
      </c>
      <c r="C276" s="12">
        <v>5</v>
      </c>
      <c r="D276" s="10">
        <v>99.9</v>
      </c>
      <c r="E276" s="10">
        <f t="shared" ref="E276:E282" si="135">D276*C276</f>
        <v>499.5</v>
      </c>
      <c r="F276" s="7" t="s">
        <v>1184</v>
      </c>
      <c r="G276" s="6" t="s">
        <v>656</v>
      </c>
      <c r="H276" s="7" t="s">
        <v>1188</v>
      </c>
      <c r="I276" s="25" t="s">
        <v>36</v>
      </c>
      <c r="J276" s="9">
        <v>6681.96</v>
      </c>
      <c r="K276" s="16">
        <v>1196</v>
      </c>
      <c r="L276" s="11">
        <f t="shared" ref="L276:L282" si="136">E276</f>
        <v>499.5</v>
      </c>
      <c r="M276" s="6"/>
    </row>
    <row r="277" spans="1:13" x14ac:dyDescent="0.25">
      <c r="A277" s="6" t="s">
        <v>657</v>
      </c>
      <c r="B277" s="7">
        <f t="shared" ca="1" si="134"/>
        <v>138</v>
      </c>
      <c r="C277" s="12">
        <v>5</v>
      </c>
      <c r="D277" s="10">
        <v>99.9</v>
      </c>
      <c r="E277" s="10">
        <f t="shared" si="135"/>
        <v>499.5</v>
      </c>
      <c r="F277" s="7" t="s">
        <v>1184</v>
      </c>
      <c r="G277" s="6" t="s">
        <v>658</v>
      </c>
      <c r="H277" s="7" t="s">
        <v>1186</v>
      </c>
      <c r="I277" s="25" t="s">
        <v>59</v>
      </c>
      <c r="J277" s="9">
        <v>7581.96</v>
      </c>
      <c r="K277" s="16">
        <v>1196</v>
      </c>
      <c r="L277" s="11">
        <f t="shared" si="136"/>
        <v>499.5</v>
      </c>
      <c r="M277" s="6"/>
    </row>
    <row r="278" spans="1:13" x14ac:dyDescent="0.25">
      <c r="A278" s="6" t="s">
        <v>659</v>
      </c>
      <c r="B278" s="7">
        <f t="shared" ca="1" si="134"/>
        <v>140</v>
      </c>
      <c r="C278" s="12">
        <v>5</v>
      </c>
      <c r="D278" s="10">
        <v>99.9</v>
      </c>
      <c r="E278" s="10">
        <f t="shared" si="135"/>
        <v>499.5</v>
      </c>
      <c r="F278" s="7" t="s">
        <v>1184</v>
      </c>
      <c r="G278" s="6" t="s">
        <v>660</v>
      </c>
      <c r="H278" s="7" t="s">
        <v>1188</v>
      </c>
      <c r="I278" s="25" t="s">
        <v>57</v>
      </c>
      <c r="J278" s="9">
        <v>6681.96</v>
      </c>
      <c r="K278" s="16">
        <v>1196</v>
      </c>
      <c r="L278" s="11">
        <f t="shared" si="136"/>
        <v>499.5</v>
      </c>
      <c r="M278" s="6"/>
    </row>
    <row r="279" spans="1:13" x14ac:dyDescent="0.25">
      <c r="A279" s="6" t="s">
        <v>661</v>
      </c>
      <c r="B279" s="7">
        <f t="shared" ca="1" si="134"/>
        <v>140</v>
      </c>
      <c r="C279" s="12">
        <v>5</v>
      </c>
      <c r="D279" s="10">
        <v>99.9</v>
      </c>
      <c r="E279" s="10">
        <f t="shared" si="135"/>
        <v>499.5</v>
      </c>
      <c r="F279" s="7" t="s">
        <v>1184</v>
      </c>
      <c r="G279" s="6" t="s">
        <v>662</v>
      </c>
      <c r="H279" s="7" t="s">
        <v>1186</v>
      </c>
      <c r="I279" s="25" t="s">
        <v>57</v>
      </c>
      <c r="J279" s="9">
        <v>7581.96</v>
      </c>
      <c r="K279" s="16">
        <v>1196</v>
      </c>
      <c r="L279" s="11">
        <f t="shared" si="136"/>
        <v>499.5</v>
      </c>
      <c r="M279" s="6"/>
    </row>
    <row r="280" spans="1:13" x14ac:dyDescent="0.25">
      <c r="A280" s="6" t="s">
        <v>663</v>
      </c>
      <c r="B280" s="7">
        <f t="shared" ca="1" si="134"/>
        <v>164</v>
      </c>
      <c r="C280" s="12">
        <v>5</v>
      </c>
      <c r="D280" s="10">
        <v>99.9</v>
      </c>
      <c r="E280" s="10">
        <f t="shared" si="135"/>
        <v>499.5</v>
      </c>
      <c r="F280" s="7" t="s">
        <v>1184</v>
      </c>
      <c r="G280" s="6" t="s">
        <v>664</v>
      </c>
      <c r="H280" s="7" t="s">
        <v>1186</v>
      </c>
      <c r="I280" s="25" t="s">
        <v>230</v>
      </c>
      <c r="J280" s="9">
        <v>7581.96</v>
      </c>
      <c r="K280" s="16">
        <v>1196</v>
      </c>
      <c r="L280" s="11">
        <f t="shared" si="136"/>
        <v>499.5</v>
      </c>
      <c r="M280" s="6"/>
    </row>
    <row r="281" spans="1:13" x14ac:dyDescent="0.25">
      <c r="A281" s="6" t="s">
        <v>665</v>
      </c>
      <c r="B281" s="7">
        <f t="shared" ca="1" si="134"/>
        <v>166</v>
      </c>
      <c r="C281" s="12">
        <v>6</v>
      </c>
      <c r="D281" s="10">
        <v>99.9</v>
      </c>
      <c r="E281" s="10">
        <f t="shared" si="135"/>
        <v>599.40000000000009</v>
      </c>
      <c r="F281" s="7" t="s">
        <v>1184</v>
      </c>
      <c r="G281" s="6" t="s">
        <v>666</v>
      </c>
      <c r="H281" s="7" t="s">
        <v>1186</v>
      </c>
      <c r="I281" s="25" t="s">
        <v>32</v>
      </c>
      <c r="J281" s="9">
        <v>7581.96</v>
      </c>
      <c r="K281" s="16">
        <v>1196</v>
      </c>
      <c r="L281" s="11">
        <f t="shared" si="136"/>
        <v>599.40000000000009</v>
      </c>
      <c r="M281" s="6"/>
    </row>
    <row r="282" spans="1:13" x14ac:dyDescent="0.25">
      <c r="A282" s="6" t="s">
        <v>667</v>
      </c>
      <c r="B282" s="7">
        <f t="shared" ca="1" si="134"/>
        <v>129</v>
      </c>
      <c r="C282" s="12">
        <v>4</v>
      </c>
      <c r="D282" s="10">
        <v>99.9</v>
      </c>
      <c r="E282" s="10">
        <f t="shared" si="135"/>
        <v>399.6</v>
      </c>
      <c r="F282" s="7" t="s">
        <v>1184</v>
      </c>
      <c r="G282" s="6" t="s">
        <v>668</v>
      </c>
      <c r="H282" s="7" t="s">
        <v>1186</v>
      </c>
      <c r="I282" s="25" t="s">
        <v>293</v>
      </c>
      <c r="J282" s="9">
        <v>7581.96</v>
      </c>
      <c r="K282" s="16">
        <v>1196</v>
      </c>
      <c r="L282" s="11">
        <f t="shared" si="136"/>
        <v>399.6</v>
      </c>
      <c r="M282" s="6"/>
    </row>
    <row r="283" spans="1:13" x14ac:dyDescent="0.25">
      <c r="A283" s="6" t="s">
        <v>669</v>
      </c>
      <c r="B283" s="7">
        <f ca="1">$I$1-I283</f>
        <v>158</v>
      </c>
      <c r="C283" s="7"/>
      <c r="D283" s="7"/>
      <c r="E283" s="7"/>
      <c r="F283" s="7" t="s">
        <v>1184</v>
      </c>
      <c r="G283" s="6" t="s">
        <v>670</v>
      </c>
      <c r="H283" s="7" t="s">
        <v>1187</v>
      </c>
      <c r="I283" s="25" t="s">
        <v>233</v>
      </c>
      <c r="J283" s="9">
        <v>4611.96</v>
      </c>
      <c r="K283" s="16">
        <v>1196</v>
      </c>
      <c r="L283" s="6"/>
      <c r="M283" s="11">
        <f>K283</f>
        <v>1196</v>
      </c>
    </row>
    <row r="284" spans="1:13" x14ac:dyDescent="0.25">
      <c r="A284" s="6" t="s">
        <v>671</v>
      </c>
      <c r="B284" s="7">
        <f t="shared" ref="B284:B287" ca="1" si="137">$I$1-I284</f>
        <v>175</v>
      </c>
      <c r="C284" s="12">
        <v>6</v>
      </c>
      <c r="D284" s="10">
        <v>99.9</v>
      </c>
      <c r="E284" s="10">
        <f t="shared" ref="E284:E287" si="138">D284*C284</f>
        <v>599.40000000000009</v>
      </c>
      <c r="F284" s="7" t="s">
        <v>1184</v>
      </c>
      <c r="G284" s="6" t="s">
        <v>672</v>
      </c>
      <c r="H284" s="7" t="s">
        <v>1186</v>
      </c>
      <c r="I284" s="25" t="s">
        <v>673</v>
      </c>
      <c r="J284" s="9">
        <v>7581.96</v>
      </c>
      <c r="K284" s="16">
        <v>1196</v>
      </c>
      <c r="L284" s="11">
        <f t="shared" ref="L284:L287" si="139">E284</f>
        <v>599.40000000000009</v>
      </c>
      <c r="M284" s="6"/>
    </row>
    <row r="285" spans="1:13" x14ac:dyDescent="0.25">
      <c r="A285" s="6" t="s">
        <v>674</v>
      </c>
      <c r="B285" s="7">
        <f t="shared" ca="1" si="137"/>
        <v>169</v>
      </c>
      <c r="C285" s="12">
        <v>6</v>
      </c>
      <c r="D285" s="10">
        <v>99.9</v>
      </c>
      <c r="E285" s="10">
        <f t="shared" si="138"/>
        <v>599.40000000000009</v>
      </c>
      <c r="F285" s="7" t="s">
        <v>1184</v>
      </c>
      <c r="G285" s="6" t="s">
        <v>675</v>
      </c>
      <c r="H285" s="7" t="s">
        <v>1186</v>
      </c>
      <c r="I285" s="25" t="s">
        <v>153</v>
      </c>
      <c r="J285" s="9">
        <v>7581.96</v>
      </c>
      <c r="K285" s="16">
        <v>1196</v>
      </c>
      <c r="L285" s="11">
        <f t="shared" si="139"/>
        <v>599.40000000000009</v>
      </c>
      <c r="M285" s="6"/>
    </row>
    <row r="286" spans="1:13" x14ac:dyDescent="0.25">
      <c r="A286" s="6" t="s">
        <v>676</v>
      </c>
      <c r="B286" s="7">
        <f t="shared" ca="1" si="137"/>
        <v>165</v>
      </c>
      <c r="C286" s="12">
        <v>6</v>
      </c>
      <c r="D286" s="10">
        <v>99.9</v>
      </c>
      <c r="E286" s="10">
        <f t="shared" si="138"/>
        <v>599.40000000000009</v>
      </c>
      <c r="F286" s="7" t="s">
        <v>1184</v>
      </c>
      <c r="G286" s="6" t="s">
        <v>677</v>
      </c>
      <c r="H286" s="7" t="s">
        <v>1188</v>
      </c>
      <c r="I286" s="25" t="s">
        <v>150</v>
      </c>
      <c r="J286" s="9">
        <v>6681.96</v>
      </c>
      <c r="K286" s="16">
        <v>1196</v>
      </c>
      <c r="L286" s="11">
        <f t="shared" si="139"/>
        <v>599.40000000000009</v>
      </c>
      <c r="M286" s="6"/>
    </row>
    <row r="287" spans="1:13" x14ac:dyDescent="0.25">
      <c r="A287" s="6" t="s">
        <v>678</v>
      </c>
      <c r="B287" s="7">
        <f t="shared" ca="1" si="137"/>
        <v>168</v>
      </c>
      <c r="C287" s="12">
        <v>6</v>
      </c>
      <c r="D287" s="10">
        <v>99.9</v>
      </c>
      <c r="E287" s="10">
        <f t="shared" si="138"/>
        <v>599.40000000000009</v>
      </c>
      <c r="F287" s="7" t="s">
        <v>1184</v>
      </c>
      <c r="G287" s="6" t="s">
        <v>679</v>
      </c>
      <c r="H287" s="7" t="s">
        <v>1188</v>
      </c>
      <c r="I287" s="25" t="s">
        <v>29</v>
      </c>
      <c r="J287" s="9">
        <v>6681.96</v>
      </c>
      <c r="K287" s="16">
        <v>1196</v>
      </c>
      <c r="L287" s="11">
        <f t="shared" si="139"/>
        <v>599.40000000000009</v>
      </c>
      <c r="M287" s="6"/>
    </row>
    <row r="288" spans="1:13" x14ac:dyDescent="0.25">
      <c r="A288" s="6" t="s">
        <v>680</v>
      </c>
      <c r="B288" s="7">
        <f ca="1">$I$1-I288</f>
        <v>163</v>
      </c>
      <c r="C288" s="7"/>
      <c r="D288" s="7"/>
      <c r="E288" s="7"/>
      <c r="F288" s="7" t="s">
        <v>1184</v>
      </c>
      <c r="G288" s="6" t="s">
        <v>681</v>
      </c>
      <c r="H288" s="7" t="s">
        <v>1187</v>
      </c>
      <c r="I288" s="25" t="s">
        <v>149</v>
      </c>
      <c r="J288" s="9">
        <v>4611.96</v>
      </c>
      <c r="K288" s="16">
        <v>1196</v>
      </c>
      <c r="L288" s="6"/>
      <c r="M288" s="11">
        <f>K288</f>
        <v>1196</v>
      </c>
    </row>
    <row r="289" spans="1:13" x14ac:dyDescent="0.25">
      <c r="A289" s="6" t="s">
        <v>682</v>
      </c>
      <c r="B289" s="7">
        <f t="shared" ref="B289:B290" ca="1" si="140">$I$1-I289</f>
        <v>137</v>
      </c>
      <c r="C289" s="12">
        <v>5</v>
      </c>
      <c r="D289" s="10">
        <v>99.9</v>
      </c>
      <c r="E289" s="10">
        <f t="shared" ref="E289:E290" si="141">D289*C289</f>
        <v>499.5</v>
      </c>
      <c r="F289" s="7" t="s">
        <v>1184</v>
      </c>
      <c r="G289" s="6" t="s">
        <v>683</v>
      </c>
      <c r="H289" s="7" t="s">
        <v>1188</v>
      </c>
      <c r="I289" s="25" t="s">
        <v>66</v>
      </c>
      <c r="J289" s="9">
        <v>6681.96</v>
      </c>
      <c r="K289" s="16">
        <v>1196</v>
      </c>
      <c r="L289" s="11">
        <f t="shared" ref="L289:L290" si="142">E289</f>
        <v>499.5</v>
      </c>
      <c r="M289" s="6"/>
    </row>
    <row r="290" spans="1:13" x14ac:dyDescent="0.25">
      <c r="A290" s="6" t="s">
        <v>684</v>
      </c>
      <c r="B290" s="7">
        <f t="shared" ca="1" si="140"/>
        <v>134</v>
      </c>
      <c r="C290" s="12">
        <v>4</v>
      </c>
      <c r="D290" s="10">
        <v>99.9</v>
      </c>
      <c r="E290" s="10">
        <f t="shared" si="141"/>
        <v>399.6</v>
      </c>
      <c r="F290" s="7" t="s">
        <v>1184</v>
      </c>
      <c r="G290" s="6" t="s">
        <v>685</v>
      </c>
      <c r="H290" s="7" t="s">
        <v>1186</v>
      </c>
      <c r="I290" s="25" t="s">
        <v>339</v>
      </c>
      <c r="J290" s="9">
        <v>7581.96</v>
      </c>
      <c r="K290" s="16">
        <v>1196</v>
      </c>
      <c r="L290" s="11">
        <f t="shared" si="142"/>
        <v>399.6</v>
      </c>
      <c r="M290" s="6"/>
    </row>
    <row r="291" spans="1:13" x14ac:dyDescent="0.25">
      <c r="A291" s="6" t="s">
        <v>686</v>
      </c>
      <c r="B291" s="7">
        <f ca="1">$I$1-I291</f>
        <v>162</v>
      </c>
      <c r="C291" s="7"/>
      <c r="D291" s="7"/>
      <c r="E291" s="7"/>
      <c r="F291" s="7" t="s">
        <v>1184</v>
      </c>
      <c r="G291" s="6" t="s">
        <v>687</v>
      </c>
      <c r="H291" s="7" t="s">
        <v>1187</v>
      </c>
      <c r="I291" s="25" t="s">
        <v>195</v>
      </c>
      <c r="J291" s="9">
        <v>4611.96</v>
      </c>
      <c r="K291" s="16">
        <v>1196</v>
      </c>
      <c r="L291" s="6"/>
      <c r="M291" s="11">
        <f>K291</f>
        <v>1196</v>
      </c>
    </row>
    <row r="292" spans="1:13" x14ac:dyDescent="0.25">
      <c r="A292" s="6" t="s">
        <v>688</v>
      </c>
      <c r="B292" s="7">
        <f t="shared" ref="B292:B293" ca="1" si="143">$I$1-I292</f>
        <v>144</v>
      </c>
      <c r="C292" s="12">
        <v>5</v>
      </c>
      <c r="D292" s="10">
        <v>99.9</v>
      </c>
      <c r="E292" s="10">
        <f t="shared" ref="E292:E293" si="144">D292*C292</f>
        <v>499.5</v>
      </c>
      <c r="F292" s="7" t="s">
        <v>1184</v>
      </c>
      <c r="G292" s="6" t="s">
        <v>689</v>
      </c>
      <c r="H292" s="7" t="s">
        <v>1188</v>
      </c>
      <c r="I292" s="25" t="s">
        <v>612</v>
      </c>
      <c r="J292" s="9">
        <v>6681.96</v>
      </c>
      <c r="K292" s="16">
        <v>1196</v>
      </c>
      <c r="L292" s="11">
        <f t="shared" ref="L292:L293" si="145">E292</f>
        <v>499.5</v>
      </c>
      <c r="M292" s="6"/>
    </row>
    <row r="293" spans="1:13" x14ac:dyDescent="0.25">
      <c r="A293" s="6" t="s">
        <v>690</v>
      </c>
      <c r="B293" s="7">
        <f t="shared" ca="1" si="143"/>
        <v>144</v>
      </c>
      <c r="C293" s="12">
        <v>5</v>
      </c>
      <c r="D293" s="10">
        <v>99.9</v>
      </c>
      <c r="E293" s="10">
        <f t="shared" si="144"/>
        <v>499.5</v>
      </c>
      <c r="F293" s="7" t="s">
        <v>1184</v>
      </c>
      <c r="G293" s="6" t="s">
        <v>691</v>
      </c>
      <c r="H293" s="7" t="s">
        <v>1188</v>
      </c>
      <c r="I293" s="25" t="s">
        <v>612</v>
      </c>
      <c r="J293" s="9">
        <v>6681.96</v>
      </c>
      <c r="K293" s="16">
        <v>1196</v>
      </c>
      <c r="L293" s="11">
        <f t="shared" si="145"/>
        <v>499.5</v>
      </c>
      <c r="M293" s="6"/>
    </row>
    <row r="294" spans="1:13" x14ac:dyDescent="0.25">
      <c r="A294" s="6" t="s">
        <v>692</v>
      </c>
      <c r="B294" s="7">
        <f ca="1">$I$1-I294</f>
        <v>144</v>
      </c>
      <c r="C294" s="7"/>
      <c r="D294" s="7"/>
      <c r="E294" s="7"/>
      <c r="F294" s="7" t="s">
        <v>1184</v>
      </c>
      <c r="G294" s="6" t="s">
        <v>693</v>
      </c>
      <c r="H294" s="7" t="s">
        <v>1187</v>
      </c>
      <c r="I294" s="25" t="s">
        <v>612</v>
      </c>
      <c r="J294" s="9">
        <v>4611.96</v>
      </c>
      <c r="K294" s="16">
        <v>1196</v>
      </c>
      <c r="L294" s="6"/>
      <c r="M294" s="11">
        <f>K294</f>
        <v>1196</v>
      </c>
    </row>
    <row r="295" spans="1:13" x14ac:dyDescent="0.25">
      <c r="A295" s="6" t="s">
        <v>694</v>
      </c>
      <c r="B295" s="7">
        <f ca="1">$I$1-I295</f>
        <v>143</v>
      </c>
      <c r="C295" s="12">
        <v>5</v>
      </c>
      <c r="D295" s="10">
        <v>99.9</v>
      </c>
      <c r="E295" s="10">
        <f>D295*C295</f>
        <v>499.5</v>
      </c>
      <c r="F295" s="7" t="s">
        <v>1184</v>
      </c>
      <c r="G295" s="6" t="s">
        <v>695</v>
      </c>
      <c r="H295" s="7" t="s">
        <v>1188</v>
      </c>
      <c r="I295" s="25" t="s">
        <v>210</v>
      </c>
      <c r="J295" s="9">
        <v>6681.96</v>
      </c>
      <c r="K295" s="16">
        <v>1196</v>
      </c>
      <c r="L295" s="11">
        <f>E295</f>
        <v>499.5</v>
      </c>
      <c r="M295" s="6"/>
    </row>
    <row r="296" spans="1:13" x14ac:dyDescent="0.25">
      <c r="A296" s="6" t="s">
        <v>696</v>
      </c>
      <c r="B296" s="7">
        <f ca="1">$I$1-I296</f>
        <v>153</v>
      </c>
      <c r="C296" s="7"/>
      <c r="D296" s="7"/>
      <c r="E296" s="7"/>
      <c r="F296" s="7" t="s">
        <v>1184</v>
      </c>
      <c r="G296" s="6" t="s">
        <v>697</v>
      </c>
      <c r="H296" s="7" t="s">
        <v>1187</v>
      </c>
      <c r="I296" s="25" t="s">
        <v>27</v>
      </c>
      <c r="J296" s="9">
        <v>4611.96</v>
      </c>
      <c r="K296" s="16">
        <v>1196</v>
      </c>
      <c r="L296" s="6"/>
      <c r="M296" s="11">
        <f>K296</f>
        <v>1196</v>
      </c>
    </row>
    <row r="297" spans="1:13" x14ac:dyDescent="0.25">
      <c r="A297" s="6" t="s">
        <v>698</v>
      </c>
      <c r="B297" s="7">
        <f t="shared" ref="B297:B299" ca="1" si="146">$I$1-I297</f>
        <v>150</v>
      </c>
      <c r="C297" s="12">
        <v>5</v>
      </c>
      <c r="D297" s="10">
        <v>99.9</v>
      </c>
      <c r="E297" s="10">
        <f t="shared" ref="E297:E299" si="147">D297*C297</f>
        <v>499.5</v>
      </c>
      <c r="F297" s="7" t="s">
        <v>1184</v>
      </c>
      <c r="G297" s="6" t="s">
        <v>699</v>
      </c>
      <c r="H297" s="7" t="s">
        <v>1188</v>
      </c>
      <c r="I297" s="25" t="s">
        <v>183</v>
      </c>
      <c r="J297" s="9">
        <v>6681.96</v>
      </c>
      <c r="K297" s="16">
        <v>1196</v>
      </c>
      <c r="L297" s="11">
        <f t="shared" ref="L297:L299" si="148">E297</f>
        <v>499.5</v>
      </c>
      <c r="M297" s="6"/>
    </row>
    <row r="298" spans="1:13" x14ac:dyDescent="0.25">
      <c r="A298" s="6" t="s">
        <v>700</v>
      </c>
      <c r="B298" s="7">
        <f t="shared" ca="1" si="146"/>
        <v>149</v>
      </c>
      <c r="C298" s="12">
        <v>5</v>
      </c>
      <c r="D298" s="10">
        <v>99.9</v>
      </c>
      <c r="E298" s="10">
        <f t="shared" si="147"/>
        <v>499.5</v>
      </c>
      <c r="F298" s="7" t="s">
        <v>1184</v>
      </c>
      <c r="G298" s="6" t="s">
        <v>701</v>
      </c>
      <c r="H298" s="7" t="s">
        <v>1188</v>
      </c>
      <c r="I298" s="25" t="s">
        <v>157</v>
      </c>
      <c r="J298" s="9">
        <v>6681.96</v>
      </c>
      <c r="K298" s="16">
        <v>1196</v>
      </c>
      <c r="L298" s="11">
        <f t="shared" si="148"/>
        <v>499.5</v>
      </c>
      <c r="M298" s="6"/>
    </row>
    <row r="299" spans="1:13" x14ac:dyDescent="0.25">
      <c r="A299" s="6" t="s">
        <v>702</v>
      </c>
      <c r="B299" s="7">
        <f t="shared" ca="1" si="146"/>
        <v>158</v>
      </c>
      <c r="C299" s="12">
        <v>5</v>
      </c>
      <c r="D299" s="10">
        <v>99.9</v>
      </c>
      <c r="E299" s="10">
        <f t="shared" si="147"/>
        <v>499.5</v>
      </c>
      <c r="F299" s="7" t="s">
        <v>1184</v>
      </c>
      <c r="G299" s="6" t="s">
        <v>703</v>
      </c>
      <c r="H299" s="7" t="s">
        <v>1188</v>
      </c>
      <c r="I299" s="25" t="s">
        <v>233</v>
      </c>
      <c r="J299" s="9">
        <v>6681.96</v>
      </c>
      <c r="K299" s="16">
        <v>1196</v>
      </c>
      <c r="L299" s="11">
        <f t="shared" si="148"/>
        <v>499.5</v>
      </c>
      <c r="M299" s="6"/>
    </row>
    <row r="300" spans="1:13" x14ac:dyDescent="0.25">
      <c r="A300" s="6" t="s">
        <v>704</v>
      </c>
      <c r="B300" s="7">
        <f ca="1">$I$1-I300</f>
        <v>160</v>
      </c>
      <c r="C300" s="7"/>
      <c r="D300" s="7"/>
      <c r="E300" s="7"/>
      <c r="F300" s="7" t="s">
        <v>1184</v>
      </c>
      <c r="G300" s="6" t="s">
        <v>705</v>
      </c>
      <c r="H300" s="7" t="s">
        <v>1187</v>
      </c>
      <c r="I300" s="25" t="s">
        <v>36</v>
      </c>
      <c r="J300" s="9">
        <v>4611.96</v>
      </c>
      <c r="K300" s="16">
        <v>1196</v>
      </c>
      <c r="L300" s="6"/>
      <c r="M300" s="11">
        <f>K300</f>
        <v>1196</v>
      </c>
    </row>
    <row r="301" spans="1:13" x14ac:dyDescent="0.25">
      <c r="A301" s="6" t="s">
        <v>706</v>
      </c>
      <c r="B301" s="7">
        <f ca="1">$I$1-I301</f>
        <v>159</v>
      </c>
      <c r="C301" s="12">
        <v>5</v>
      </c>
      <c r="D301" s="10">
        <v>99.9</v>
      </c>
      <c r="E301" s="10">
        <f>D301*C301</f>
        <v>499.5</v>
      </c>
      <c r="F301" s="7" t="s">
        <v>1184</v>
      </c>
      <c r="G301" s="6" t="s">
        <v>707</v>
      </c>
      <c r="H301" s="7" t="s">
        <v>1188</v>
      </c>
      <c r="I301" s="25" t="s">
        <v>229</v>
      </c>
      <c r="J301" s="9">
        <v>6681.96</v>
      </c>
      <c r="K301" s="16">
        <v>1196</v>
      </c>
      <c r="L301" s="11">
        <f>E301</f>
        <v>499.5</v>
      </c>
      <c r="M301" s="6"/>
    </row>
    <row r="302" spans="1:13" x14ac:dyDescent="0.25">
      <c r="A302" s="6" t="s">
        <v>708</v>
      </c>
      <c r="B302" s="7">
        <f ca="1">$I$1-I302</f>
        <v>150</v>
      </c>
      <c r="C302" s="7"/>
      <c r="D302" s="7"/>
      <c r="E302" s="7"/>
      <c r="F302" s="7" t="s">
        <v>1184</v>
      </c>
      <c r="G302" s="6" t="s">
        <v>709</v>
      </c>
      <c r="H302" s="7" t="s">
        <v>1187</v>
      </c>
      <c r="I302" s="25" t="s">
        <v>183</v>
      </c>
      <c r="J302" s="9">
        <v>4611.96</v>
      </c>
      <c r="K302" s="16">
        <v>1196</v>
      </c>
      <c r="L302" s="6"/>
      <c r="M302" s="11">
        <f>K302</f>
        <v>1196</v>
      </c>
    </row>
    <row r="303" spans="1:13" x14ac:dyDescent="0.25">
      <c r="A303" s="6" t="s">
        <v>710</v>
      </c>
      <c r="B303" s="7">
        <f ca="1">$I$1-I303</f>
        <v>151</v>
      </c>
      <c r="C303" s="12">
        <v>5</v>
      </c>
      <c r="D303" s="10">
        <v>99.9</v>
      </c>
      <c r="E303" s="10">
        <f>D303*C303</f>
        <v>499.5</v>
      </c>
      <c r="F303" s="7" t="s">
        <v>1184</v>
      </c>
      <c r="G303" s="6" t="s">
        <v>711</v>
      </c>
      <c r="H303" s="7" t="s">
        <v>1186</v>
      </c>
      <c r="I303" s="25" t="s">
        <v>198</v>
      </c>
      <c r="J303" s="9">
        <v>7581.96</v>
      </c>
      <c r="K303" s="16">
        <v>1196</v>
      </c>
      <c r="L303" s="11">
        <f>E303</f>
        <v>499.5</v>
      </c>
      <c r="M303" s="6"/>
    </row>
    <row r="304" spans="1:13" x14ac:dyDescent="0.25">
      <c r="A304" s="6" t="s">
        <v>712</v>
      </c>
      <c r="B304" s="7">
        <f t="shared" ref="B304:B307" ca="1" si="149">$I$1-I304</f>
        <v>151</v>
      </c>
      <c r="C304" s="7"/>
      <c r="D304" s="7"/>
      <c r="E304" s="7"/>
      <c r="F304" s="7" t="s">
        <v>1184</v>
      </c>
      <c r="G304" s="6" t="s">
        <v>713</v>
      </c>
      <c r="H304" s="7" t="s">
        <v>1187</v>
      </c>
      <c r="I304" s="25" t="s">
        <v>198</v>
      </c>
      <c r="J304" s="9">
        <v>4611.96</v>
      </c>
      <c r="K304" s="16">
        <v>1196</v>
      </c>
      <c r="L304" s="6"/>
      <c r="M304" s="11">
        <f t="shared" ref="M304:M307" si="150">K304</f>
        <v>1196</v>
      </c>
    </row>
    <row r="305" spans="1:13" x14ac:dyDescent="0.25">
      <c r="A305" s="6" t="s">
        <v>714</v>
      </c>
      <c r="B305" s="7">
        <f t="shared" ca="1" si="149"/>
        <v>138</v>
      </c>
      <c r="C305" s="7"/>
      <c r="D305" s="7"/>
      <c r="E305" s="7"/>
      <c r="F305" s="7" t="s">
        <v>1184</v>
      </c>
      <c r="G305" s="6" t="s">
        <v>715</v>
      </c>
      <c r="H305" s="7" t="s">
        <v>1187</v>
      </c>
      <c r="I305" s="25" t="s">
        <v>59</v>
      </c>
      <c r="J305" s="9">
        <v>4611.96</v>
      </c>
      <c r="K305" s="16">
        <v>1196</v>
      </c>
      <c r="L305" s="6"/>
      <c r="M305" s="11">
        <f t="shared" si="150"/>
        <v>1196</v>
      </c>
    </row>
    <row r="306" spans="1:13" x14ac:dyDescent="0.25">
      <c r="A306" s="6" t="s">
        <v>716</v>
      </c>
      <c r="B306" s="7">
        <f t="shared" ca="1" si="149"/>
        <v>138</v>
      </c>
      <c r="C306" s="7"/>
      <c r="D306" s="7"/>
      <c r="E306" s="7"/>
      <c r="F306" s="7" t="s">
        <v>1184</v>
      </c>
      <c r="G306" s="6" t="s">
        <v>717</v>
      </c>
      <c r="H306" s="7" t="s">
        <v>13</v>
      </c>
      <c r="I306" s="25" t="s">
        <v>59</v>
      </c>
      <c r="J306" s="9">
        <v>4188</v>
      </c>
      <c r="K306" s="16">
        <v>1196</v>
      </c>
      <c r="L306" s="6"/>
      <c r="M306" s="11">
        <f t="shared" si="150"/>
        <v>1196</v>
      </c>
    </row>
    <row r="307" spans="1:13" x14ac:dyDescent="0.25">
      <c r="A307" s="6" t="s">
        <v>718</v>
      </c>
      <c r="B307" s="7">
        <f t="shared" ca="1" si="149"/>
        <v>154</v>
      </c>
      <c r="C307" s="7"/>
      <c r="D307" s="7"/>
      <c r="E307" s="7"/>
      <c r="F307" s="7" t="s">
        <v>1184</v>
      </c>
      <c r="G307" s="6" t="s">
        <v>719</v>
      </c>
      <c r="H307" s="7" t="s">
        <v>1187</v>
      </c>
      <c r="I307" s="25" t="s">
        <v>250</v>
      </c>
      <c r="J307" s="9">
        <v>4611.96</v>
      </c>
      <c r="K307" s="16">
        <v>1196</v>
      </c>
      <c r="L307" s="6"/>
      <c r="M307" s="11">
        <f t="shared" si="150"/>
        <v>1196</v>
      </c>
    </row>
    <row r="308" spans="1:13" x14ac:dyDescent="0.25">
      <c r="A308" s="6" t="s">
        <v>720</v>
      </c>
      <c r="B308" s="7">
        <f ca="1">$I$1-I308</f>
        <v>149</v>
      </c>
      <c r="C308" s="12">
        <v>5</v>
      </c>
      <c r="D308" s="10">
        <v>99.9</v>
      </c>
      <c r="E308" s="10">
        <f>D308*C308</f>
        <v>499.5</v>
      </c>
      <c r="F308" s="7" t="s">
        <v>1184</v>
      </c>
      <c r="G308" s="6" t="s">
        <v>721</v>
      </c>
      <c r="H308" s="7" t="s">
        <v>1188</v>
      </c>
      <c r="I308" s="25" t="s">
        <v>157</v>
      </c>
      <c r="J308" s="9">
        <v>6681.96</v>
      </c>
      <c r="K308" s="16">
        <v>1196</v>
      </c>
      <c r="L308" s="11">
        <f>E308</f>
        <v>499.5</v>
      </c>
      <c r="M308" s="6"/>
    </row>
    <row r="309" spans="1:13" x14ac:dyDescent="0.25">
      <c r="A309" s="6" t="s">
        <v>722</v>
      </c>
      <c r="B309" s="7">
        <f t="shared" ref="B309:B310" ca="1" si="151">$I$1-I309</f>
        <v>138</v>
      </c>
      <c r="C309" s="7"/>
      <c r="D309" s="7"/>
      <c r="E309" s="7"/>
      <c r="F309" s="7" t="s">
        <v>1184</v>
      </c>
      <c r="G309" s="6" t="s">
        <v>723</v>
      </c>
      <c r="H309" s="7" t="s">
        <v>1187</v>
      </c>
      <c r="I309" s="25" t="s">
        <v>59</v>
      </c>
      <c r="J309" s="9">
        <v>4611.96</v>
      </c>
      <c r="K309" s="16">
        <v>1196</v>
      </c>
      <c r="L309" s="6"/>
      <c r="M309" s="11">
        <f t="shared" ref="M309:M310" si="152">K309</f>
        <v>1196</v>
      </c>
    </row>
    <row r="310" spans="1:13" x14ac:dyDescent="0.25">
      <c r="A310" s="6" t="s">
        <v>724</v>
      </c>
      <c r="B310" s="7">
        <f t="shared" ca="1" si="151"/>
        <v>150</v>
      </c>
      <c r="C310" s="7"/>
      <c r="D310" s="7"/>
      <c r="E310" s="7"/>
      <c r="F310" s="7" t="s">
        <v>1184</v>
      </c>
      <c r="G310" s="6" t="s">
        <v>725</v>
      </c>
      <c r="H310" s="7" t="s">
        <v>1187</v>
      </c>
      <c r="I310" s="25" t="s">
        <v>183</v>
      </c>
      <c r="J310" s="9">
        <v>4611.96</v>
      </c>
      <c r="K310" s="16">
        <v>1196</v>
      </c>
      <c r="L310" s="6"/>
      <c r="M310" s="11">
        <f t="shared" si="152"/>
        <v>1196</v>
      </c>
    </row>
    <row r="311" spans="1:13" x14ac:dyDescent="0.25">
      <c r="A311" s="6" t="s">
        <v>726</v>
      </c>
      <c r="B311" s="7">
        <f ca="1">$I$1-I311</f>
        <v>153</v>
      </c>
      <c r="C311" s="12">
        <v>5</v>
      </c>
      <c r="D311" s="10">
        <v>99.9</v>
      </c>
      <c r="E311" s="10">
        <f>D311*C311</f>
        <v>499.5</v>
      </c>
      <c r="F311" s="7" t="s">
        <v>1184</v>
      </c>
      <c r="G311" s="6" t="s">
        <v>727</v>
      </c>
      <c r="H311" s="7" t="s">
        <v>1188</v>
      </c>
      <c r="I311" s="25" t="s">
        <v>27</v>
      </c>
      <c r="J311" s="9">
        <v>6681.96</v>
      </c>
      <c r="K311" s="16">
        <v>1196</v>
      </c>
      <c r="L311" s="11">
        <f>E311</f>
        <v>499.5</v>
      </c>
      <c r="M311" s="6"/>
    </row>
    <row r="312" spans="1:13" x14ac:dyDescent="0.25">
      <c r="A312" s="6" t="s">
        <v>728</v>
      </c>
      <c r="B312" s="7">
        <f ca="1">$I$1-I312</f>
        <v>120</v>
      </c>
      <c r="C312" s="7"/>
      <c r="D312" s="7"/>
      <c r="E312" s="7"/>
      <c r="F312" s="7" t="s">
        <v>1184</v>
      </c>
      <c r="G312" s="6" t="s">
        <v>729</v>
      </c>
      <c r="H312" s="7" t="s">
        <v>1187</v>
      </c>
      <c r="I312" s="25" t="s">
        <v>730</v>
      </c>
      <c r="J312" s="9">
        <v>4611.96</v>
      </c>
      <c r="K312" s="16">
        <v>1196</v>
      </c>
      <c r="L312" s="6"/>
      <c r="M312" s="11">
        <f>K312</f>
        <v>1196</v>
      </c>
    </row>
    <row r="313" spans="1:13" x14ac:dyDescent="0.25">
      <c r="A313" s="6" t="s">
        <v>731</v>
      </c>
      <c r="B313" s="7">
        <f ca="1">$I$1-I313</f>
        <v>156</v>
      </c>
      <c r="C313" s="12">
        <v>5</v>
      </c>
      <c r="D313" s="10">
        <v>99.9</v>
      </c>
      <c r="E313" s="10">
        <f>D313*C313</f>
        <v>499.5</v>
      </c>
      <c r="F313" s="7" t="s">
        <v>1184</v>
      </c>
      <c r="G313" s="6" t="s">
        <v>732</v>
      </c>
      <c r="H313" s="7" t="s">
        <v>1188</v>
      </c>
      <c r="I313" s="25" t="s">
        <v>41</v>
      </c>
      <c r="J313" s="9">
        <v>6681.96</v>
      </c>
      <c r="K313" s="16">
        <v>1196</v>
      </c>
      <c r="L313" s="11">
        <f>E313</f>
        <v>499.5</v>
      </c>
      <c r="M313" s="6"/>
    </row>
    <row r="314" spans="1:13" x14ac:dyDescent="0.25">
      <c r="A314" s="6" t="s">
        <v>733</v>
      </c>
      <c r="B314" s="7">
        <f ca="1">$I$1-I314</f>
        <v>153</v>
      </c>
      <c r="C314" s="7"/>
      <c r="D314" s="7"/>
      <c r="E314" s="7"/>
      <c r="F314" s="7" t="s">
        <v>1184</v>
      </c>
      <c r="G314" s="6" t="s">
        <v>734</v>
      </c>
      <c r="H314" s="7" t="s">
        <v>1187</v>
      </c>
      <c r="I314" s="25" t="s">
        <v>27</v>
      </c>
      <c r="J314" s="9">
        <v>4611.96</v>
      </c>
      <c r="K314" s="16">
        <v>1196</v>
      </c>
      <c r="L314" s="6"/>
      <c r="M314" s="11">
        <f>K314</f>
        <v>1196</v>
      </c>
    </row>
    <row r="315" spans="1:13" x14ac:dyDescent="0.25">
      <c r="A315" s="6" t="s">
        <v>735</v>
      </c>
      <c r="B315" s="7">
        <f t="shared" ref="B315:B316" ca="1" si="153">$I$1-I315</f>
        <v>153</v>
      </c>
      <c r="C315" s="12">
        <v>5</v>
      </c>
      <c r="D315" s="10">
        <v>99.9</v>
      </c>
      <c r="E315" s="10">
        <f t="shared" ref="E315:E316" si="154">D315*C315</f>
        <v>499.5</v>
      </c>
      <c r="F315" s="7" t="s">
        <v>1184</v>
      </c>
      <c r="G315" s="6" t="s">
        <v>736</v>
      </c>
      <c r="H315" s="7" t="s">
        <v>1188</v>
      </c>
      <c r="I315" s="25" t="s">
        <v>27</v>
      </c>
      <c r="J315" s="9">
        <v>6681.96</v>
      </c>
      <c r="K315" s="16">
        <v>1196</v>
      </c>
      <c r="L315" s="11">
        <f t="shared" ref="L315:L316" si="155">E315</f>
        <v>499.5</v>
      </c>
      <c r="M315" s="6"/>
    </row>
    <row r="316" spans="1:13" x14ac:dyDescent="0.25">
      <c r="A316" s="6" t="s">
        <v>737</v>
      </c>
      <c r="B316" s="7">
        <f t="shared" ca="1" si="153"/>
        <v>146</v>
      </c>
      <c r="C316" s="12">
        <v>5</v>
      </c>
      <c r="D316" s="10">
        <v>99.9</v>
      </c>
      <c r="E316" s="10">
        <f t="shared" si="154"/>
        <v>499.5</v>
      </c>
      <c r="F316" s="7" t="s">
        <v>1184</v>
      </c>
      <c r="G316" s="6" t="s">
        <v>738</v>
      </c>
      <c r="H316" s="7" t="s">
        <v>1188</v>
      </c>
      <c r="I316" s="25" t="s">
        <v>287</v>
      </c>
      <c r="J316" s="9">
        <v>6681.96</v>
      </c>
      <c r="K316" s="16">
        <v>1196</v>
      </c>
      <c r="L316" s="11">
        <f t="shared" si="155"/>
        <v>499.5</v>
      </c>
      <c r="M316" s="6"/>
    </row>
    <row r="317" spans="1:13" x14ac:dyDescent="0.25">
      <c r="A317" s="6" t="s">
        <v>739</v>
      </c>
      <c r="B317" s="7">
        <f ca="1">$I$1-I317</f>
        <v>151</v>
      </c>
      <c r="C317" s="7"/>
      <c r="D317" s="7"/>
      <c r="E317" s="7"/>
      <c r="F317" s="7" t="s">
        <v>1184</v>
      </c>
      <c r="G317" s="6" t="s">
        <v>740</v>
      </c>
      <c r="H317" s="7" t="s">
        <v>1187</v>
      </c>
      <c r="I317" s="25" t="s">
        <v>198</v>
      </c>
      <c r="J317" s="9">
        <v>4611.96</v>
      </c>
      <c r="K317" s="16">
        <v>1196</v>
      </c>
      <c r="L317" s="6"/>
      <c r="M317" s="11">
        <f>K317</f>
        <v>1196</v>
      </c>
    </row>
    <row r="318" spans="1:13" x14ac:dyDescent="0.25">
      <c r="A318" s="6" t="s">
        <v>741</v>
      </c>
      <c r="B318" s="7">
        <f t="shared" ref="B318:B320" ca="1" si="156">$I$1-I318</f>
        <v>151</v>
      </c>
      <c r="C318" s="12">
        <v>5</v>
      </c>
      <c r="D318" s="10">
        <v>99.9</v>
      </c>
      <c r="E318" s="10">
        <f t="shared" ref="E318:E320" si="157">D318*C318</f>
        <v>499.5</v>
      </c>
      <c r="F318" s="7" t="s">
        <v>1184</v>
      </c>
      <c r="G318" s="6" t="s">
        <v>742</v>
      </c>
      <c r="H318" s="7" t="s">
        <v>1188</v>
      </c>
      <c r="I318" s="25" t="s">
        <v>198</v>
      </c>
      <c r="J318" s="9">
        <v>6681.96</v>
      </c>
      <c r="K318" s="16">
        <v>1196</v>
      </c>
      <c r="L318" s="11">
        <f t="shared" ref="L318:L320" si="158">E318</f>
        <v>499.5</v>
      </c>
      <c r="M318" s="6"/>
    </row>
    <row r="319" spans="1:13" x14ac:dyDescent="0.25">
      <c r="A319" s="6" t="s">
        <v>743</v>
      </c>
      <c r="B319" s="7">
        <f t="shared" ca="1" si="156"/>
        <v>152</v>
      </c>
      <c r="C319" s="12">
        <v>5</v>
      </c>
      <c r="D319" s="10">
        <v>99.9</v>
      </c>
      <c r="E319" s="10">
        <f t="shared" si="157"/>
        <v>499.5</v>
      </c>
      <c r="F319" s="7" t="s">
        <v>1184</v>
      </c>
      <c r="G319" s="6" t="s">
        <v>744</v>
      </c>
      <c r="H319" s="7" t="s">
        <v>1188</v>
      </c>
      <c r="I319" s="25" t="s">
        <v>45</v>
      </c>
      <c r="J319" s="9">
        <v>6681.96</v>
      </c>
      <c r="K319" s="16">
        <v>1196</v>
      </c>
      <c r="L319" s="11">
        <f t="shared" si="158"/>
        <v>499.5</v>
      </c>
      <c r="M319" s="6"/>
    </row>
    <row r="320" spans="1:13" x14ac:dyDescent="0.25">
      <c r="A320" s="6" t="s">
        <v>745</v>
      </c>
      <c r="B320" s="7">
        <f t="shared" ca="1" si="156"/>
        <v>151</v>
      </c>
      <c r="C320" s="12">
        <v>5</v>
      </c>
      <c r="D320" s="10">
        <v>99.9</v>
      </c>
      <c r="E320" s="10">
        <f t="shared" si="157"/>
        <v>499.5</v>
      </c>
      <c r="F320" s="7" t="s">
        <v>1184</v>
      </c>
      <c r="G320" s="6" t="s">
        <v>746</v>
      </c>
      <c r="H320" s="7" t="s">
        <v>1188</v>
      </c>
      <c r="I320" s="25" t="s">
        <v>198</v>
      </c>
      <c r="J320" s="9">
        <v>7881.96</v>
      </c>
      <c r="K320" s="16">
        <v>1196</v>
      </c>
      <c r="L320" s="11">
        <f t="shared" si="158"/>
        <v>499.5</v>
      </c>
      <c r="M320" s="6"/>
    </row>
    <row r="321" spans="1:13" x14ac:dyDescent="0.25">
      <c r="A321" s="6" t="s">
        <v>747</v>
      </c>
      <c r="B321" s="7">
        <f ca="1">$I$1-I321</f>
        <v>147</v>
      </c>
      <c r="C321" s="7"/>
      <c r="D321" s="7"/>
      <c r="E321" s="7"/>
      <c r="F321" s="7" t="s">
        <v>1184</v>
      </c>
      <c r="G321" s="6" t="s">
        <v>748</v>
      </c>
      <c r="H321" s="7" t="s">
        <v>1187</v>
      </c>
      <c r="I321" s="25" t="s">
        <v>284</v>
      </c>
      <c r="J321" s="9">
        <v>4611.96</v>
      </c>
      <c r="K321" s="16">
        <v>1196</v>
      </c>
      <c r="L321" s="6"/>
      <c r="M321" s="11">
        <f>K321</f>
        <v>1196</v>
      </c>
    </row>
    <row r="322" spans="1:13" x14ac:dyDescent="0.25">
      <c r="A322" s="6" t="s">
        <v>749</v>
      </c>
      <c r="B322" s="7">
        <f t="shared" ref="B322:B326" ca="1" si="159">$I$1-I322</f>
        <v>153</v>
      </c>
      <c r="C322" s="12">
        <v>5</v>
      </c>
      <c r="D322" s="10">
        <v>99.9</v>
      </c>
      <c r="E322" s="10">
        <f t="shared" ref="E322:E326" si="160">D322*C322</f>
        <v>499.5</v>
      </c>
      <c r="F322" s="7" t="s">
        <v>1184</v>
      </c>
      <c r="G322" s="6" t="s">
        <v>750</v>
      </c>
      <c r="H322" s="7" t="s">
        <v>1188</v>
      </c>
      <c r="I322" s="25" t="s">
        <v>27</v>
      </c>
      <c r="J322" s="9">
        <v>6681.96</v>
      </c>
      <c r="K322" s="16">
        <v>1196</v>
      </c>
      <c r="L322" s="11">
        <f t="shared" ref="L322:L326" si="161">E322</f>
        <v>499.5</v>
      </c>
      <c r="M322" s="6"/>
    </row>
    <row r="323" spans="1:13" x14ac:dyDescent="0.25">
      <c r="A323" s="6" t="s">
        <v>751</v>
      </c>
      <c r="B323" s="7">
        <f t="shared" ca="1" si="159"/>
        <v>150</v>
      </c>
      <c r="C323" s="12">
        <v>5</v>
      </c>
      <c r="D323" s="10">
        <v>99.9</v>
      </c>
      <c r="E323" s="10">
        <f t="shared" si="160"/>
        <v>499.5</v>
      </c>
      <c r="F323" s="7" t="s">
        <v>1184</v>
      </c>
      <c r="G323" s="6" t="s">
        <v>752</v>
      </c>
      <c r="H323" s="7" t="s">
        <v>1188</v>
      </c>
      <c r="I323" s="25" t="s">
        <v>183</v>
      </c>
      <c r="J323" s="9">
        <v>6681.96</v>
      </c>
      <c r="K323" s="16">
        <v>1196</v>
      </c>
      <c r="L323" s="11">
        <f t="shared" si="161"/>
        <v>499.5</v>
      </c>
      <c r="M323" s="6"/>
    </row>
    <row r="324" spans="1:13" x14ac:dyDescent="0.25">
      <c r="A324" s="6" t="s">
        <v>753</v>
      </c>
      <c r="B324" s="7">
        <f t="shared" ca="1" si="159"/>
        <v>149</v>
      </c>
      <c r="C324" s="12">
        <v>5</v>
      </c>
      <c r="D324" s="10">
        <v>99.9</v>
      </c>
      <c r="E324" s="10">
        <f t="shared" si="160"/>
        <v>499.5</v>
      </c>
      <c r="F324" s="7" t="s">
        <v>1184</v>
      </c>
      <c r="G324" s="6" t="s">
        <v>754</v>
      </c>
      <c r="H324" s="7" t="s">
        <v>1188</v>
      </c>
      <c r="I324" s="25" t="s">
        <v>157</v>
      </c>
      <c r="J324" s="9">
        <v>6681.96</v>
      </c>
      <c r="K324" s="16">
        <v>1196</v>
      </c>
      <c r="L324" s="11">
        <f t="shared" si="161"/>
        <v>499.5</v>
      </c>
      <c r="M324" s="6"/>
    </row>
    <row r="325" spans="1:13" x14ac:dyDescent="0.25">
      <c r="A325" s="6" t="s">
        <v>755</v>
      </c>
      <c r="B325" s="7">
        <f t="shared" ca="1" si="159"/>
        <v>151</v>
      </c>
      <c r="C325" s="12">
        <v>5</v>
      </c>
      <c r="D325" s="10">
        <v>99.9</v>
      </c>
      <c r="E325" s="10">
        <f t="shared" si="160"/>
        <v>499.5</v>
      </c>
      <c r="F325" s="7" t="s">
        <v>1184</v>
      </c>
      <c r="G325" s="6" t="s">
        <v>756</v>
      </c>
      <c r="H325" s="7" t="s">
        <v>1188</v>
      </c>
      <c r="I325" s="25" t="s">
        <v>198</v>
      </c>
      <c r="J325" s="9">
        <v>6681.96</v>
      </c>
      <c r="K325" s="16">
        <v>1196</v>
      </c>
      <c r="L325" s="11">
        <f t="shared" si="161"/>
        <v>499.5</v>
      </c>
      <c r="M325" s="6"/>
    </row>
    <row r="326" spans="1:13" x14ac:dyDescent="0.25">
      <c r="A326" s="6" t="s">
        <v>757</v>
      </c>
      <c r="B326" s="7">
        <f t="shared" ca="1" si="159"/>
        <v>139</v>
      </c>
      <c r="C326" s="12">
        <v>5</v>
      </c>
      <c r="D326" s="10">
        <v>99.9</v>
      </c>
      <c r="E326" s="10">
        <f t="shared" si="160"/>
        <v>499.5</v>
      </c>
      <c r="F326" s="7" t="s">
        <v>1184</v>
      </c>
      <c r="G326" s="6" t="s">
        <v>758</v>
      </c>
      <c r="H326" s="7" t="s">
        <v>1188</v>
      </c>
      <c r="I326" s="25" t="s">
        <v>61</v>
      </c>
      <c r="J326" s="9">
        <v>6681.96</v>
      </c>
      <c r="K326" s="16">
        <v>1196</v>
      </c>
      <c r="L326" s="11">
        <f t="shared" si="161"/>
        <v>499.5</v>
      </c>
      <c r="M326" s="6"/>
    </row>
    <row r="327" spans="1:13" x14ac:dyDescent="0.25">
      <c r="A327" s="6" t="s">
        <v>759</v>
      </c>
      <c r="B327" s="7">
        <f t="shared" ref="B327:B330" ca="1" si="162">$I$1-I327</f>
        <v>149</v>
      </c>
      <c r="C327" s="7"/>
      <c r="D327" s="7"/>
      <c r="E327" s="7"/>
      <c r="F327" s="7" t="s">
        <v>1184</v>
      </c>
      <c r="G327" s="6" t="s">
        <v>760</v>
      </c>
      <c r="H327" s="7" t="s">
        <v>13</v>
      </c>
      <c r="I327" s="25" t="s">
        <v>157</v>
      </c>
      <c r="J327" s="9">
        <v>4188</v>
      </c>
      <c r="K327" s="16">
        <v>1196</v>
      </c>
      <c r="L327" s="6"/>
      <c r="M327" s="11">
        <f t="shared" ref="M327:M328" si="163">K327</f>
        <v>1196</v>
      </c>
    </row>
    <row r="328" spans="1:13" x14ac:dyDescent="0.25">
      <c r="A328" s="6" t="s">
        <v>761</v>
      </c>
      <c r="B328" s="7">
        <f t="shared" ca="1" si="162"/>
        <v>145</v>
      </c>
      <c r="C328" s="7"/>
      <c r="D328" s="7"/>
      <c r="E328" s="7"/>
      <c r="F328" s="7" t="s">
        <v>1184</v>
      </c>
      <c r="G328" s="6" t="s">
        <v>762</v>
      </c>
      <c r="H328" s="7" t="s">
        <v>1187</v>
      </c>
      <c r="I328" s="25" t="s">
        <v>286</v>
      </c>
      <c r="J328" s="9">
        <v>4611.96</v>
      </c>
      <c r="K328" s="16">
        <v>1196</v>
      </c>
      <c r="L328" s="6"/>
      <c r="M328" s="11">
        <f t="shared" si="163"/>
        <v>1196</v>
      </c>
    </row>
    <row r="329" spans="1:13" x14ac:dyDescent="0.25">
      <c r="A329" s="6" t="s">
        <v>763</v>
      </c>
      <c r="B329" s="7">
        <f t="shared" ca="1" si="162"/>
        <v>139</v>
      </c>
      <c r="C329" s="12">
        <v>5</v>
      </c>
      <c r="D329" s="10">
        <v>99.9</v>
      </c>
      <c r="E329" s="10">
        <f t="shared" ref="E329:E330" si="164">D329*C329</f>
        <v>499.5</v>
      </c>
      <c r="F329" s="7" t="s">
        <v>1184</v>
      </c>
      <c r="G329" s="6" t="s">
        <v>764</v>
      </c>
      <c r="H329" s="7" t="s">
        <v>1188</v>
      </c>
      <c r="I329" s="25" t="s">
        <v>61</v>
      </c>
      <c r="J329" s="9">
        <v>6681.96</v>
      </c>
      <c r="K329" s="16">
        <v>1196</v>
      </c>
      <c r="L329" s="11">
        <f t="shared" ref="L329:L330" si="165">E329</f>
        <v>499.5</v>
      </c>
      <c r="M329" s="6"/>
    </row>
    <row r="330" spans="1:13" x14ac:dyDescent="0.25">
      <c r="A330" s="6" t="s">
        <v>765</v>
      </c>
      <c r="B330" s="7">
        <f t="shared" ca="1" si="162"/>
        <v>150</v>
      </c>
      <c r="C330" s="12">
        <v>5</v>
      </c>
      <c r="D330" s="10">
        <v>99.9</v>
      </c>
      <c r="E330" s="10">
        <f t="shared" si="164"/>
        <v>499.5</v>
      </c>
      <c r="F330" s="7" t="s">
        <v>1184</v>
      </c>
      <c r="G330" s="6" t="s">
        <v>766</v>
      </c>
      <c r="H330" s="7" t="s">
        <v>1188</v>
      </c>
      <c r="I330" s="25" t="s">
        <v>183</v>
      </c>
      <c r="J330" s="9">
        <v>6681.96</v>
      </c>
      <c r="K330" s="16">
        <v>1196</v>
      </c>
      <c r="L330" s="11">
        <f t="shared" si="165"/>
        <v>499.5</v>
      </c>
      <c r="M330" s="6"/>
    </row>
    <row r="331" spans="1:13" x14ac:dyDescent="0.25">
      <c r="A331" s="6" t="s">
        <v>767</v>
      </c>
      <c r="B331" s="7">
        <f ca="1">$I$1-I331</f>
        <v>147</v>
      </c>
      <c r="C331" s="7"/>
      <c r="D331" s="7"/>
      <c r="E331" s="7"/>
      <c r="F331" s="7" t="s">
        <v>1184</v>
      </c>
      <c r="G331" s="6" t="s">
        <v>768</v>
      </c>
      <c r="H331" s="7" t="s">
        <v>1187</v>
      </c>
      <c r="I331" s="25" t="s">
        <v>284</v>
      </c>
      <c r="J331" s="9">
        <v>4611.96</v>
      </c>
      <c r="K331" s="16">
        <v>1196</v>
      </c>
      <c r="L331" s="6"/>
      <c r="M331" s="11">
        <f>K331</f>
        <v>1196</v>
      </c>
    </row>
    <row r="332" spans="1:13" x14ac:dyDescent="0.25">
      <c r="A332" s="6" t="s">
        <v>769</v>
      </c>
      <c r="B332" s="7">
        <f t="shared" ref="B332:B339" ca="1" si="166">$I$1-I332</f>
        <v>151</v>
      </c>
      <c r="C332" s="12">
        <v>5</v>
      </c>
      <c r="D332" s="10">
        <v>99.9</v>
      </c>
      <c r="E332" s="10">
        <f t="shared" ref="E332:E339" si="167">D332*C332</f>
        <v>499.5</v>
      </c>
      <c r="F332" s="7" t="s">
        <v>1184</v>
      </c>
      <c r="G332" s="6" t="s">
        <v>770</v>
      </c>
      <c r="H332" s="7" t="s">
        <v>1186</v>
      </c>
      <c r="I332" s="25" t="s">
        <v>198</v>
      </c>
      <c r="J332" s="9">
        <v>7581.96</v>
      </c>
      <c r="K332" s="16">
        <v>1196</v>
      </c>
      <c r="L332" s="11">
        <f t="shared" ref="L332:L339" si="168">E332</f>
        <v>499.5</v>
      </c>
      <c r="M332" s="6"/>
    </row>
    <row r="333" spans="1:13" x14ac:dyDescent="0.25">
      <c r="A333" s="6" t="s">
        <v>771</v>
      </c>
      <c r="B333" s="7">
        <f t="shared" ca="1" si="166"/>
        <v>148</v>
      </c>
      <c r="C333" s="12">
        <v>5</v>
      </c>
      <c r="D333" s="10">
        <v>99.9</v>
      </c>
      <c r="E333" s="10">
        <f t="shared" si="167"/>
        <v>499.5</v>
      </c>
      <c r="F333" s="7" t="s">
        <v>1184</v>
      </c>
      <c r="G333" s="6" t="s">
        <v>772</v>
      </c>
      <c r="H333" s="7" t="s">
        <v>1188</v>
      </c>
      <c r="I333" s="25" t="s">
        <v>254</v>
      </c>
      <c r="J333" s="9">
        <v>6681.96</v>
      </c>
      <c r="K333" s="16">
        <v>1196</v>
      </c>
      <c r="L333" s="11">
        <f t="shared" si="168"/>
        <v>499.5</v>
      </c>
      <c r="M333" s="6"/>
    </row>
    <row r="334" spans="1:13" x14ac:dyDescent="0.25">
      <c r="A334" s="6" t="s">
        <v>773</v>
      </c>
      <c r="B334" s="7">
        <f t="shared" ca="1" si="166"/>
        <v>139</v>
      </c>
      <c r="C334" s="12">
        <v>5</v>
      </c>
      <c r="D334" s="10">
        <v>99.9</v>
      </c>
      <c r="E334" s="10">
        <f t="shared" si="167"/>
        <v>499.5</v>
      </c>
      <c r="F334" s="7" t="s">
        <v>1184</v>
      </c>
      <c r="G334" s="6" t="s">
        <v>774</v>
      </c>
      <c r="H334" s="7" t="s">
        <v>1188</v>
      </c>
      <c r="I334" s="25" t="s">
        <v>61</v>
      </c>
      <c r="J334" s="9">
        <v>6681.96</v>
      </c>
      <c r="K334" s="16">
        <v>1196</v>
      </c>
      <c r="L334" s="11">
        <f t="shared" si="168"/>
        <v>499.5</v>
      </c>
      <c r="M334" s="6"/>
    </row>
    <row r="335" spans="1:13" x14ac:dyDescent="0.25">
      <c r="A335" s="6" t="s">
        <v>775</v>
      </c>
      <c r="B335" s="7">
        <f t="shared" ca="1" si="166"/>
        <v>152</v>
      </c>
      <c r="C335" s="12">
        <v>5</v>
      </c>
      <c r="D335" s="10">
        <v>99.9</v>
      </c>
      <c r="E335" s="10">
        <f t="shared" si="167"/>
        <v>499.5</v>
      </c>
      <c r="F335" s="7" t="s">
        <v>1184</v>
      </c>
      <c r="G335" s="6" t="s">
        <v>776</v>
      </c>
      <c r="H335" s="7" t="s">
        <v>1188</v>
      </c>
      <c r="I335" s="25" t="s">
        <v>45</v>
      </c>
      <c r="J335" s="9">
        <v>6681.96</v>
      </c>
      <c r="K335" s="16">
        <v>1196</v>
      </c>
      <c r="L335" s="11">
        <f t="shared" si="168"/>
        <v>499.5</v>
      </c>
      <c r="M335" s="6"/>
    </row>
    <row r="336" spans="1:13" x14ac:dyDescent="0.25">
      <c r="A336" s="6" t="s">
        <v>777</v>
      </c>
      <c r="B336" s="7">
        <f t="shared" ca="1" si="166"/>
        <v>142</v>
      </c>
      <c r="C336" s="12">
        <v>5</v>
      </c>
      <c r="D336" s="10">
        <v>99.9</v>
      </c>
      <c r="E336" s="10">
        <f t="shared" si="167"/>
        <v>499.5</v>
      </c>
      <c r="F336" s="7" t="s">
        <v>1184</v>
      </c>
      <c r="G336" s="6" t="s">
        <v>778</v>
      </c>
      <c r="H336" s="7" t="s">
        <v>1188</v>
      </c>
      <c r="I336" s="25" t="s">
        <v>204</v>
      </c>
      <c r="J336" s="9">
        <v>6681.96</v>
      </c>
      <c r="K336" s="16">
        <v>1196</v>
      </c>
      <c r="L336" s="11">
        <f t="shared" si="168"/>
        <v>499.5</v>
      </c>
      <c r="M336" s="6"/>
    </row>
    <row r="337" spans="1:13" x14ac:dyDescent="0.25">
      <c r="A337" s="6" t="s">
        <v>779</v>
      </c>
      <c r="B337" s="7">
        <f t="shared" ca="1" si="166"/>
        <v>139</v>
      </c>
      <c r="C337" s="12">
        <v>5</v>
      </c>
      <c r="D337" s="10">
        <v>99.9</v>
      </c>
      <c r="E337" s="10">
        <f t="shared" si="167"/>
        <v>499.5</v>
      </c>
      <c r="F337" s="7" t="s">
        <v>1184</v>
      </c>
      <c r="G337" s="6" t="s">
        <v>780</v>
      </c>
      <c r="H337" s="7" t="s">
        <v>1188</v>
      </c>
      <c r="I337" s="25" t="s">
        <v>61</v>
      </c>
      <c r="J337" s="9">
        <v>6681.96</v>
      </c>
      <c r="K337" s="16">
        <v>1196</v>
      </c>
      <c r="L337" s="11">
        <f t="shared" si="168"/>
        <v>499.5</v>
      </c>
      <c r="M337" s="6"/>
    </row>
    <row r="338" spans="1:13" x14ac:dyDescent="0.25">
      <c r="A338" s="6" t="s">
        <v>781</v>
      </c>
      <c r="B338" s="7">
        <f t="shared" ca="1" si="166"/>
        <v>136</v>
      </c>
      <c r="C338" s="12">
        <v>5</v>
      </c>
      <c r="D338" s="10">
        <v>99.9</v>
      </c>
      <c r="E338" s="10">
        <f t="shared" si="167"/>
        <v>499.5</v>
      </c>
      <c r="F338" s="7" t="s">
        <v>1184</v>
      </c>
      <c r="G338" s="6" t="s">
        <v>782</v>
      </c>
      <c r="H338" s="7" t="s">
        <v>1188</v>
      </c>
      <c r="I338" s="25" t="s">
        <v>342</v>
      </c>
      <c r="J338" s="9">
        <v>6681.96</v>
      </c>
      <c r="K338" s="16">
        <v>1196</v>
      </c>
      <c r="L338" s="11">
        <f t="shared" si="168"/>
        <v>499.5</v>
      </c>
      <c r="M338" s="6"/>
    </row>
    <row r="339" spans="1:13" x14ac:dyDescent="0.25">
      <c r="A339" s="6" t="s">
        <v>783</v>
      </c>
      <c r="B339" s="7">
        <f t="shared" ca="1" si="166"/>
        <v>143</v>
      </c>
      <c r="C339" s="12">
        <v>5</v>
      </c>
      <c r="D339" s="10">
        <v>99.9</v>
      </c>
      <c r="E339" s="10">
        <f t="shared" si="167"/>
        <v>499.5</v>
      </c>
      <c r="F339" s="7" t="s">
        <v>1184</v>
      </c>
      <c r="G339" s="6" t="s">
        <v>784</v>
      </c>
      <c r="H339" s="7" t="s">
        <v>1188</v>
      </c>
      <c r="I339" s="25" t="s">
        <v>210</v>
      </c>
      <c r="J339" s="9">
        <v>6681.96</v>
      </c>
      <c r="K339" s="16">
        <v>1196</v>
      </c>
      <c r="L339" s="11">
        <f t="shared" si="168"/>
        <v>499.5</v>
      </c>
      <c r="M339" s="6"/>
    </row>
    <row r="340" spans="1:13" x14ac:dyDescent="0.25">
      <c r="A340" s="6" t="s">
        <v>785</v>
      </c>
      <c r="B340" s="7">
        <f ca="1">$I$1-I340</f>
        <v>129</v>
      </c>
      <c r="C340" s="7"/>
      <c r="D340" s="7"/>
      <c r="E340" s="7"/>
      <c r="F340" s="7" t="s">
        <v>1184</v>
      </c>
      <c r="G340" s="6" t="s">
        <v>786</v>
      </c>
      <c r="H340" s="7" t="s">
        <v>1187</v>
      </c>
      <c r="I340" s="25" t="s">
        <v>293</v>
      </c>
      <c r="J340" s="9">
        <v>4611.96</v>
      </c>
      <c r="K340" s="16">
        <v>1196</v>
      </c>
      <c r="L340" s="6"/>
      <c r="M340" s="11">
        <f>K340</f>
        <v>1196</v>
      </c>
    </row>
    <row r="341" spans="1:13" x14ac:dyDescent="0.25">
      <c r="A341" s="6" t="s">
        <v>787</v>
      </c>
      <c r="B341" s="7">
        <f ca="1">$I$1-I341</f>
        <v>115</v>
      </c>
      <c r="C341" s="12">
        <v>4</v>
      </c>
      <c r="D341" s="10">
        <v>99.9</v>
      </c>
      <c r="E341" s="10">
        <f>D341*C341</f>
        <v>399.6</v>
      </c>
      <c r="F341" s="7" t="s">
        <v>1184</v>
      </c>
      <c r="G341" s="6" t="s">
        <v>788</v>
      </c>
      <c r="H341" s="7" t="s">
        <v>1188</v>
      </c>
      <c r="I341" s="25" t="s">
        <v>273</v>
      </c>
      <c r="J341" s="9">
        <v>6681.96</v>
      </c>
      <c r="K341" s="16">
        <v>1196</v>
      </c>
      <c r="L341" s="11">
        <f>E341</f>
        <v>399.6</v>
      </c>
      <c r="M341" s="6"/>
    </row>
    <row r="342" spans="1:13" x14ac:dyDescent="0.25">
      <c r="A342" s="6" t="s">
        <v>789</v>
      </c>
      <c r="B342" s="6"/>
      <c r="C342" s="6"/>
      <c r="D342" s="6"/>
      <c r="E342" s="6"/>
      <c r="F342" s="7" t="s">
        <v>1184</v>
      </c>
      <c r="G342" s="6" t="s">
        <v>790</v>
      </c>
      <c r="H342" s="7" t="s">
        <v>1189</v>
      </c>
      <c r="I342" s="25" t="s">
        <v>791</v>
      </c>
      <c r="J342" s="9">
        <v>6681.96</v>
      </c>
      <c r="K342" s="16">
        <v>1196</v>
      </c>
      <c r="L342" s="6"/>
      <c r="M342" s="11">
        <f>K342</f>
        <v>1196</v>
      </c>
    </row>
    <row r="343" spans="1:13" x14ac:dyDescent="0.25">
      <c r="A343" s="6" t="s">
        <v>792</v>
      </c>
      <c r="B343" s="7">
        <f t="shared" ref="B343:B347" ca="1" si="169">$I$1-I343</f>
        <v>115</v>
      </c>
      <c r="C343" s="12">
        <v>4</v>
      </c>
      <c r="D343" s="10">
        <v>99.9</v>
      </c>
      <c r="E343" s="10">
        <f t="shared" ref="E343:E347" si="170">D343*C343</f>
        <v>399.6</v>
      </c>
      <c r="F343" s="7" t="s">
        <v>1184</v>
      </c>
      <c r="G343" s="6" t="s">
        <v>793</v>
      </c>
      <c r="H343" s="7" t="s">
        <v>1188</v>
      </c>
      <c r="I343" s="25" t="s">
        <v>273</v>
      </c>
      <c r="J343" s="9">
        <v>6681.96</v>
      </c>
      <c r="K343" s="16">
        <v>1196</v>
      </c>
      <c r="L343" s="11">
        <f t="shared" ref="L343:L347" si="171">E343</f>
        <v>399.6</v>
      </c>
      <c r="M343" s="6"/>
    </row>
    <row r="344" spans="1:13" x14ac:dyDescent="0.25">
      <c r="A344" s="6" t="s">
        <v>794</v>
      </c>
      <c r="B344" s="7">
        <f t="shared" ca="1" si="169"/>
        <v>139</v>
      </c>
      <c r="C344" s="12">
        <v>5</v>
      </c>
      <c r="D344" s="10">
        <v>99.9</v>
      </c>
      <c r="E344" s="10">
        <f t="shared" si="170"/>
        <v>499.5</v>
      </c>
      <c r="F344" s="7" t="s">
        <v>1184</v>
      </c>
      <c r="G344" s="6" t="s">
        <v>795</v>
      </c>
      <c r="H344" s="7" t="s">
        <v>1186</v>
      </c>
      <c r="I344" s="25" t="s">
        <v>61</v>
      </c>
      <c r="J344" s="9">
        <v>4188</v>
      </c>
      <c r="K344" s="16">
        <v>1196</v>
      </c>
      <c r="L344" s="11">
        <f t="shared" si="171"/>
        <v>499.5</v>
      </c>
      <c r="M344" s="6"/>
    </row>
    <row r="345" spans="1:13" x14ac:dyDescent="0.25">
      <c r="A345" s="6" t="s">
        <v>796</v>
      </c>
      <c r="B345" s="7">
        <f t="shared" ca="1" si="169"/>
        <v>143</v>
      </c>
      <c r="C345" s="12">
        <v>5</v>
      </c>
      <c r="D345" s="10">
        <v>99.9</v>
      </c>
      <c r="E345" s="10">
        <f t="shared" si="170"/>
        <v>499.5</v>
      </c>
      <c r="F345" s="7" t="s">
        <v>1184</v>
      </c>
      <c r="G345" s="6" t="s">
        <v>797</v>
      </c>
      <c r="H345" s="7" t="s">
        <v>1188</v>
      </c>
      <c r="I345" s="25" t="s">
        <v>210</v>
      </c>
      <c r="J345" s="9">
        <v>6681.96</v>
      </c>
      <c r="K345" s="16">
        <v>1196</v>
      </c>
      <c r="L345" s="11">
        <f t="shared" si="171"/>
        <v>499.5</v>
      </c>
      <c r="M345" s="6"/>
    </row>
    <row r="346" spans="1:13" x14ac:dyDescent="0.25">
      <c r="A346" s="6" t="s">
        <v>798</v>
      </c>
      <c r="B346" s="7">
        <f t="shared" ca="1" si="169"/>
        <v>139</v>
      </c>
      <c r="C346" s="12">
        <v>5</v>
      </c>
      <c r="D346" s="10">
        <v>99.9</v>
      </c>
      <c r="E346" s="10">
        <f t="shared" si="170"/>
        <v>499.5</v>
      </c>
      <c r="F346" s="7" t="s">
        <v>1184</v>
      </c>
      <c r="G346" s="6" t="s">
        <v>799</v>
      </c>
      <c r="H346" s="7" t="s">
        <v>1188</v>
      </c>
      <c r="I346" s="25" t="s">
        <v>61</v>
      </c>
      <c r="J346" s="9">
        <v>6681.96</v>
      </c>
      <c r="K346" s="16">
        <v>1196</v>
      </c>
      <c r="L346" s="11">
        <f t="shared" si="171"/>
        <v>499.5</v>
      </c>
      <c r="M346" s="6"/>
    </row>
    <row r="347" spans="1:13" x14ac:dyDescent="0.25">
      <c r="A347" s="6" t="s">
        <v>800</v>
      </c>
      <c r="B347" s="7">
        <f t="shared" ca="1" si="169"/>
        <v>124</v>
      </c>
      <c r="C347" s="12">
        <v>4</v>
      </c>
      <c r="D347" s="10">
        <v>99.9</v>
      </c>
      <c r="E347" s="10">
        <f t="shared" si="170"/>
        <v>399.6</v>
      </c>
      <c r="F347" s="7" t="s">
        <v>1184</v>
      </c>
      <c r="G347" s="6" t="s">
        <v>801</v>
      </c>
      <c r="H347" s="7" t="s">
        <v>1186</v>
      </c>
      <c r="I347" s="25" t="s">
        <v>78</v>
      </c>
      <c r="J347" s="9">
        <v>7581.96</v>
      </c>
      <c r="K347" s="16">
        <v>1196</v>
      </c>
      <c r="L347" s="11">
        <f t="shared" si="171"/>
        <v>399.6</v>
      </c>
      <c r="M347" s="6"/>
    </row>
    <row r="348" spans="1:13" x14ac:dyDescent="0.25">
      <c r="A348" s="6" t="s">
        <v>802</v>
      </c>
      <c r="B348" s="7">
        <f ca="1">$I$1-I348</f>
        <v>129</v>
      </c>
      <c r="C348" s="7"/>
      <c r="D348" s="7"/>
      <c r="E348" s="7"/>
      <c r="F348" s="7" t="s">
        <v>1184</v>
      </c>
      <c r="G348" s="6" t="s">
        <v>803</v>
      </c>
      <c r="H348" s="7" t="s">
        <v>1187</v>
      </c>
      <c r="I348" s="25" t="s">
        <v>293</v>
      </c>
      <c r="J348" s="9">
        <v>4611.96</v>
      </c>
      <c r="K348" s="16">
        <v>1196</v>
      </c>
      <c r="L348" s="6"/>
      <c r="M348" s="11">
        <f>K348</f>
        <v>1196</v>
      </c>
    </row>
    <row r="349" spans="1:13" x14ac:dyDescent="0.25">
      <c r="A349" s="6" t="s">
        <v>804</v>
      </c>
      <c r="B349" s="7">
        <f ca="1">$I$1-I349</f>
        <v>122</v>
      </c>
      <c r="C349" s="12">
        <v>4</v>
      </c>
      <c r="D349" s="10">
        <v>99.9</v>
      </c>
      <c r="E349" s="10">
        <f>D349*C349</f>
        <v>399.6</v>
      </c>
      <c r="F349" s="7" t="s">
        <v>1184</v>
      </c>
      <c r="G349" s="6" t="s">
        <v>805</v>
      </c>
      <c r="H349" s="7" t="s">
        <v>1186</v>
      </c>
      <c r="I349" s="25" t="s">
        <v>260</v>
      </c>
      <c r="J349" s="9">
        <v>7581.96</v>
      </c>
      <c r="K349" s="16">
        <v>1196</v>
      </c>
      <c r="L349" s="11">
        <f>E349</f>
        <v>399.6</v>
      </c>
      <c r="M349" s="6"/>
    </row>
    <row r="350" spans="1:13" x14ac:dyDescent="0.25">
      <c r="A350" s="6" t="s">
        <v>806</v>
      </c>
      <c r="B350" s="7">
        <f ca="1">$I$1-I350</f>
        <v>138</v>
      </c>
      <c r="C350" s="7"/>
      <c r="D350" s="7"/>
      <c r="E350" s="7"/>
      <c r="F350" s="7" t="s">
        <v>1184</v>
      </c>
      <c r="G350" s="6" t="s">
        <v>807</v>
      </c>
      <c r="H350" s="7" t="s">
        <v>1187</v>
      </c>
      <c r="I350" s="25" t="s">
        <v>59</v>
      </c>
      <c r="J350" s="9">
        <v>4611.96</v>
      </c>
      <c r="K350" s="16">
        <v>1196</v>
      </c>
      <c r="L350" s="6"/>
      <c r="M350" s="11">
        <f>K350</f>
        <v>1196</v>
      </c>
    </row>
    <row r="351" spans="1:13" x14ac:dyDescent="0.25">
      <c r="A351" s="6" t="s">
        <v>808</v>
      </c>
      <c r="B351" s="7">
        <f ca="1">$I$1-I351</f>
        <v>143</v>
      </c>
      <c r="C351" s="12">
        <v>5</v>
      </c>
      <c r="D351" s="10">
        <v>99.9</v>
      </c>
      <c r="E351" s="10">
        <f>D351*C351</f>
        <v>499.5</v>
      </c>
      <c r="F351" s="7" t="s">
        <v>1184</v>
      </c>
      <c r="G351" s="6" t="s">
        <v>809</v>
      </c>
      <c r="H351" s="7" t="s">
        <v>1188</v>
      </c>
      <c r="I351" s="25" t="s">
        <v>210</v>
      </c>
      <c r="J351" s="9">
        <v>6681.96</v>
      </c>
      <c r="K351" s="16">
        <v>1196</v>
      </c>
      <c r="L351" s="11">
        <f>E351</f>
        <v>499.5</v>
      </c>
      <c r="M351" s="6"/>
    </row>
    <row r="352" spans="1:13" x14ac:dyDescent="0.25">
      <c r="A352" s="6" t="s">
        <v>810</v>
      </c>
      <c r="B352" s="7">
        <f t="shared" ref="B352:B354" ca="1" si="172">$I$1-I352</f>
        <v>138</v>
      </c>
      <c r="C352" s="7"/>
      <c r="D352" s="7"/>
      <c r="E352" s="7"/>
      <c r="F352" s="7" t="s">
        <v>1184</v>
      </c>
      <c r="G352" s="6" t="s">
        <v>811</v>
      </c>
      <c r="H352" s="7" t="s">
        <v>1187</v>
      </c>
      <c r="I352" s="25" t="s">
        <v>59</v>
      </c>
      <c r="J352" s="9">
        <v>4611.96</v>
      </c>
      <c r="K352" s="16">
        <v>1196</v>
      </c>
      <c r="L352" s="6"/>
      <c r="M352" s="11">
        <f t="shared" ref="M352:M354" si="173">K352</f>
        <v>1196</v>
      </c>
    </row>
    <row r="353" spans="1:13" x14ac:dyDescent="0.25">
      <c r="A353" s="6" t="s">
        <v>812</v>
      </c>
      <c r="B353" s="7">
        <f t="shared" ca="1" si="172"/>
        <v>138</v>
      </c>
      <c r="C353" s="7"/>
      <c r="D353" s="7"/>
      <c r="E353" s="7"/>
      <c r="F353" s="7" t="s">
        <v>1184</v>
      </c>
      <c r="G353" s="6" t="s">
        <v>813</v>
      </c>
      <c r="H353" s="7" t="s">
        <v>1187</v>
      </c>
      <c r="I353" s="25" t="s">
        <v>59</v>
      </c>
      <c r="J353" s="9">
        <v>4611.96</v>
      </c>
      <c r="K353" s="16">
        <v>1196</v>
      </c>
      <c r="L353" s="6"/>
      <c r="M353" s="11">
        <f t="shared" si="173"/>
        <v>1196</v>
      </c>
    </row>
    <row r="354" spans="1:13" x14ac:dyDescent="0.25">
      <c r="A354" s="6" t="s">
        <v>814</v>
      </c>
      <c r="B354" s="7">
        <f t="shared" ca="1" si="172"/>
        <v>138</v>
      </c>
      <c r="C354" s="7"/>
      <c r="D354" s="7"/>
      <c r="E354" s="7"/>
      <c r="F354" s="7" t="s">
        <v>1184</v>
      </c>
      <c r="G354" s="6" t="s">
        <v>815</v>
      </c>
      <c r="H354" s="7" t="s">
        <v>1187</v>
      </c>
      <c r="I354" s="25" t="s">
        <v>59</v>
      </c>
      <c r="J354" s="9">
        <v>4611.96</v>
      </c>
      <c r="K354" s="16">
        <v>1196</v>
      </c>
      <c r="L354" s="6"/>
      <c r="M354" s="11">
        <f t="shared" si="173"/>
        <v>1196</v>
      </c>
    </row>
    <row r="355" spans="1:13" x14ac:dyDescent="0.25">
      <c r="A355" s="6" t="s">
        <v>816</v>
      </c>
      <c r="B355" s="7">
        <f ca="1">$I$1-I355</f>
        <v>144</v>
      </c>
      <c r="C355" s="12">
        <v>5</v>
      </c>
      <c r="D355" s="10">
        <v>99.9</v>
      </c>
      <c r="E355" s="10">
        <f>D355*C355</f>
        <v>499.5</v>
      </c>
      <c r="F355" s="7" t="s">
        <v>1184</v>
      </c>
      <c r="G355" s="6" t="s">
        <v>817</v>
      </c>
      <c r="H355" s="7" t="s">
        <v>1188</v>
      </c>
      <c r="I355" s="25" t="s">
        <v>612</v>
      </c>
      <c r="J355" s="9">
        <v>6681.96</v>
      </c>
      <c r="K355" s="16">
        <v>1196</v>
      </c>
      <c r="L355" s="11">
        <f>E355</f>
        <v>499.5</v>
      </c>
      <c r="M355" s="6"/>
    </row>
    <row r="356" spans="1:13" x14ac:dyDescent="0.25">
      <c r="A356" s="6" t="s">
        <v>818</v>
      </c>
      <c r="B356" s="7">
        <f t="shared" ref="B356:B362" ca="1" si="174">$I$1-I356</f>
        <v>139</v>
      </c>
      <c r="C356" s="7"/>
      <c r="D356" s="7"/>
      <c r="E356" s="7"/>
      <c r="F356" s="7" t="s">
        <v>1184</v>
      </c>
      <c r="G356" s="6" t="s">
        <v>819</v>
      </c>
      <c r="H356" s="7" t="s">
        <v>1187</v>
      </c>
      <c r="I356" s="25" t="s">
        <v>61</v>
      </c>
      <c r="J356" s="9">
        <v>4611.96</v>
      </c>
      <c r="K356" s="16">
        <v>1196</v>
      </c>
      <c r="L356" s="6"/>
      <c r="M356" s="11">
        <f t="shared" ref="M356:M360" si="175">K356</f>
        <v>1196</v>
      </c>
    </row>
    <row r="357" spans="1:13" x14ac:dyDescent="0.25">
      <c r="A357" s="6" t="s">
        <v>820</v>
      </c>
      <c r="B357" s="7">
        <f t="shared" ca="1" si="174"/>
        <v>139</v>
      </c>
      <c r="C357" s="7"/>
      <c r="D357" s="7"/>
      <c r="E357" s="7"/>
      <c r="F357" s="7" t="s">
        <v>1184</v>
      </c>
      <c r="G357" s="6" t="s">
        <v>821</v>
      </c>
      <c r="H357" s="7" t="s">
        <v>1187</v>
      </c>
      <c r="I357" s="25" t="s">
        <v>61</v>
      </c>
      <c r="J357" s="9">
        <v>4611.96</v>
      </c>
      <c r="K357" s="16">
        <v>1196</v>
      </c>
      <c r="L357" s="6"/>
      <c r="M357" s="11">
        <f t="shared" si="175"/>
        <v>1196</v>
      </c>
    </row>
    <row r="358" spans="1:13" x14ac:dyDescent="0.25">
      <c r="A358" s="6" t="s">
        <v>822</v>
      </c>
      <c r="B358" s="7">
        <f t="shared" ca="1" si="174"/>
        <v>143</v>
      </c>
      <c r="C358" s="7"/>
      <c r="D358" s="7"/>
      <c r="E358" s="7"/>
      <c r="F358" s="7" t="s">
        <v>1184</v>
      </c>
      <c r="G358" s="6" t="s">
        <v>823</v>
      </c>
      <c r="H358" s="7" t="s">
        <v>1187</v>
      </c>
      <c r="I358" s="25" t="s">
        <v>210</v>
      </c>
      <c r="J358" s="9">
        <v>4611.96</v>
      </c>
      <c r="K358" s="16">
        <v>1196</v>
      </c>
      <c r="L358" s="6"/>
      <c r="M358" s="11">
        <f t="shared" si="175"/>
        <v>1196</v>
      </c>
    </row>
    <row r="359" spans="1:13" x14ac:dyDescent="0.25">
      <c r="A359" s="6" t="s">
        <v>824</v>
      </c>
      <c r="B359" s="7">
        <f t="shared" ca="1" si="174"/>
        <v>130</v>
      </c>
      <c r="C359" s="7"/>
      <c r="D359" s="7"/>
      <c r="E359" s="7"/>
      <c r="F359" s="7" t="s">
        <v>1184</v>
      </c>
      <c r="G359" s="6" t="s">
        <v>825</v>
      </c>
      <c r="H359" s="7" t="s">
        <v>1187</v>
      </c>
      <c r="I359" s="25" t="s">
        <v>319</v>
      </c>
      <c r="J359" s="9">
        <v>4611.96</v>
      </c>
      <c r="K359" s="16">
        <v>1196</v>
      </c>
      <c r="L359" s="6"/>
      <c r="M359" s="11">
        <f t="shared" si="175"/>
        <v>1196</v>
      </c>
    </row>
    <row r="360" spans="1:13" x14ac:dyDescent="0.25">
      <c r="A360" s="6" t="s">
        <v>826</v>
      </c>
      <c r="B360" s="7">
        <f t="shared" ca="1" si="174"/>
        <v>116</v>
      </c>
      <c r="C360" s="7"/>
      <c r="D360" s="7"/>
      <c r="E360" s="7"/>
      <c r="F360" s="7" t="s">
        <v>1184</v>
      </c>
      <c r="G360" s="6" t="s">
        <v>827</v>
      </c>
      <c r="H360" s="7" t="s">
        <v>1187</v>
      </c>
      <c r="I360" s="25" t="s">
        <v>226</v>
      </c>
      <c r="J360" s="9">
        <v>4611.96</v>
      </c>
      <c r="K360" s="16">
        <v>1196</v>
      </c>
      <c r="L360" s="6"/>
      <c r="M360" s="11">
        <f t="shared" si="175"/>
        <v>1196</v>
      </c>
    </row>
    <row r="361" spans="1:13" x14ac:dyDescent="0.25">
      <c r="A361" s="6" t="s">
        <v>828</v>
      </c>
      <c r="B361" s="7">
        <f t="shared" ca="1" si="174"/>
        <v>94</v>
      </c>
      <c r="C361" s="12">
        <v>3</v>
      </c>
      <c r="D361" s="10">
        <v>99.9</v>
      </c>
      <c r="E361" s="10">
        <f t="shared" ref="E361:E362" si="176">D361*C361</f>
        <v>299.70000000000005</v>
      </c>
      <c r="F361" s="7" t="s">
        <v>1184</v>
      </c>
      <c r="G361" s="6" t="s">
        <v>829</v>
      </c>
      <c r="H361" s="7" t="s">
        <v>1186</v>
      </c>
      <c r="I361" s="25" t="s">
        <v>830</v>
      </c>
      <c r="J361" s="9">
        <v>7581.96</v>
      </c>
      <c r="K361" s="16">
        <v>1196</v>
      </c>
      <c r="L361" s="11">
        <f t="shared" ref="L361:L362" si="177">E361</f>
        <v>299.70000000000005</v>
      </c>
      <c r="M361" s="6"/>
    </row>
    <row r="362" spans="1:13" x14ac:dyDescent="0.25">
      <c r="A362" s="6" t="s">
        <v>831</v>
      </c>
      <c r="B362" s="7">
        <f t="shared" ca="1" si="174"/>
        <v>130</v>
      </c>
      <c r="C362" s="12">
        <v>4</v>
      </c>
      <c r="D362" s="10">
        <v>99.9</v>
      </c>
      <c r="E362" s="10">
        <f t="shared" si="176"/>
        <v>399.6</v>
      </c>
      <c r="F362" s="7" t="s">
        <v>1184</v>
      </c>
      <c r="G362" s="6" t="s">
        <v>832</v>
      </c>
      <c r="H362" s="7" t="s">
        <v>1188</v>
      </c>
      <c r="I362" s="25" t="s">
        <v>319</v>
      </c>
      <c r="J362" s="9">
        <v>6681.96</v>
      </c>
      <c r="K362" s="16">
        <v>1196</v>
      </c>
      <c r="L362" s="11">
        <f t="shared" si="177"/>
        <v>399.6</v>
      </c>
      <c r="M362" s="6"/>
    </row>
    <row r="363" spans="1:13" x14ac:dyDescent="0.25">
      <c r="A363" s="6" t="s">
        <v>833</v>
      </c>
      <c r="B363" s="7">
        <f ca="1">$I$1-I363</f>
        <v>140</v>
      </c>
      <c r="C363" s="7"/>
      <c r="D363" s="7"/>
      <c r="E363" s="7"/>
      <c r="F363" s="7" t="s">
        <v>1184</v>
      </c>
      <c r="G363" s="6" t="s">
        <v>834</v>
      </c>
      <c r="H363" s="7" t="s">
        <v>1187</v>
      </c>
      <c r="I363" s="25" t="s">
        <v>57</v>
      </c>
      <c r="J363" s="9">
        <v>4611.96</v>
      </c>
      <c r="K363" s="16">
        <v>1196</v>
      </c>
      <c r="L363" s="6"/>
      <c r="M363" s="11">
        <f>K363</f>
        <v>1196</v>
      </c>
    </row>
    <row r="364" spans="1:13" x14ac:dyDescent="0.25">
      <c r="A364" s="6" t="s">
        <v>835</v>
      </c>
      <c r="B364" s="7">
        <f t="shared" ref="B364:B371" ca="1" si="178">$I$1-I364</f>
        <v>138</v>
      </c>
      <c r="C364" s="12">
        <v>5</v>
      </c>
      <c r="D364" s="10">
        <v>99.9</v>
      </c>
      <c r="E364" s="10">
        <f t="shared" ref="E364:E371" si="179">D364*C364</f>
        <v>499.5</v>
      </c>
      <c r="F364" s="7" t="s">
        <v>1184</v>
      </c>
      <c r="G364" s="6" t="s">
        <v>836</v>
      </c>
      <c r="H364" s="7" t="s">
        <v>1186</v>
      </c>
      <c r="I364" s="25" t="s">
        <v>59</v>
      </c>
      <c r="J364" s="9">
        <v>7581.96</v>
      </c>
      <c r="K364" s="16">
        <v>1196</v>
      </c>
      <c r="L364" s="11">
        <f t="shared" ref="L364:L371" si="180">E364</f>
        <v>499.5</v>
      </c>
      <c r="M364" s="6"/>
    </row>
    <row r="365" spans="1:13" x14ac:dyDescent="0.25">
      <c r="A365" s="6" t="s">
        <v>837</v>
      </c>
      <c r="B365" s="7">
        <f t="shared" ca="1" si="178"/>
        <v>115</v>
      </c>
      <c r="C365" s="12">
        <v>4</v>
      </c>
      <c r="D365" s="10">
        <v>99.9</v>
      </c>
      <c r="E365" s="10">
        <f t="shared" si="179"/>
        <v>399.6</v>
      </c>
      <c r="F365" s="7" t="s">
        <v>1184</v>
      </c>
      <c r="G365" s="6" t="s">
        <v>838</v>
      </c>
      <c r="H365" s="7" t="s">
        <v>1188</v>
      </c>
      <c r="I365" s="25" t="s">
        <v>273</v>
      </c>
      <c r="J365" s="9">
        <v>6681.96</v>
      </c>
      <c r="K365" s="16">
        <v>1196</v>
      </c>
      <c r="L365" s="11">
        <f t="shared" si="180"/>
        <v>399.6</v>
      </c>
      <c r="M365" s="6"/>
    </row>
    <row r="366" spans="1:13" x14ac:dyDescent="0.25">
      <c r="A366" s="6" t="s">
        <v>839</v>
      </c>
      <c r="B366" s="7">
        <f t="shared" ca="1" si="178"/>
        <v>138</v>
      </c>
      <c r="C366" s="12">
        <v>5</v>
      </c>
      <c r="D366" s="10">
        <v>99.9</v>
      </c>
      <c r="E366" s="10">
        <f t="shared" si="179"/>
        <v>499.5</v>
      </c>
      <c r="F366" s="7" t="s">
        <v>1184</v>
      </c>
      <c r="G366" s="6" t="s">
        <v>840</v>
      </c>
      <c r="H366" s="7" t="s">
        <v>1186</v>
      </c>
      <c r="I366" s="25" t="s">
        <v>59</v>
      </c>
      <c r="J366" s="9">
        <v>7581.96</v>
      </c>
      <c r="K366" s="16">
        <v>1196</v>
      </c>
      <c r="L366" s="11">
        <f t="shared" si="180"/>
        <v>499.5</v>
      </c>
      <c r="M366" s="6"/>
    </row>
    <row r="367" spans="1:13" x14ac:dyDescent="0.25">
      <c r="A367" s="6" t="s">
        <v>841</v>
      </c>
      <c r="B367" s="7">
        <f t="shared" ca="1" si="178"/>
        <v>129</v>
      </c>
      <c r="C367" s="12">
        <v>4</v>
      </c>
      <c r="D367" s="10">
        <v>99.9</v>
      </c>
      <c r="E367" s="10">
        <f t="shared" si="179"/>
        <v>399.6</v>
      </c>
      <c r="F367" s="7" t="s">
        <v>1184</v>
      </c>
      <c r="G367" s="6" t="s">
        <v>842</v>
      </c>
      <c r="H367" s="7" t="s">
        <v>1188</v>
      </c>
      <c r="I367" s="25" t="s">
        <v>293</v>
      </c>
      <c r="J367" s="9">
        <v>6681.96</v>
      </c>
      <c r="K367" s="16">
        <v>1196</v>
      </c>
      <c r="L367" s="11">
        <f t="shared" si="180"/>
        <v>399.6</v>
      </c>
      <c r="M367" s="6"/>
    </row>
    <row r="368" spans="1:13" x14ac:dyDescent="0.25">
      <c r="A368" s="6" t="s">
        <v>843</v>
      </c>
      <c r="B368" s="7">
        <f t="shared" ca="1" si="178"/>
        <v>137</v>
      </c>
      <c r="C368" s="12">
        <v>5</v>
      </c>
      <c r="D368" s="10">
        <v>99.9</v>
      </c>
      <c r="E368" s="10">
        <f t="shared" si="179"/>
        <v>499.5</v>
      </c>
      <c r="F368" s="7" t="s">
        <v>1184</v>
      </c>
      <c r="G368" s="6" t="s">
        <v>844</v>
      </c>
      <c r="H368" s="7" t="s">
        <v>1186</v>
      </c>
      <c r="I368" s="25" t="s">
        <v>66</v>
      </c>
      <c r="J368" s="9">
        <v>7581.96</v>
      </c>
      <c r="K368" s="16">
        <v>1196</v>
      </c>
      <c r="L368" s="11">
        <f t="shared" si="180"/>
        <v>499.5</v>
      </c>
      <c r="M368" s="6"/>
    </row>
    <row r="369" spans="1:13" x14ac:dyDescent="0.25">
      <c r="A369" s="6" t="s">
        <v>845</v>
      </c>
      <c r="B369" s="7">
        <f t="shared" ca="1" si="178"/>
        <v>133</v>
      </c>
      <c r="C369" s="12">
        <v>4</v>
      </c>
      <c r="D369" s="10">
        <v>99.9</v>
      </c>
      <c r="E369" s="10">
        <f t="shared" si="179"/>
        <v>399.6</v>
      </c>
      <c r="F369" s="7" t="s">
        <v>1184</v>
      </c>
      <c r="G369" s="6" t="s">
        <v>846</v>
      </c>
      <c r="H369" s="7" t="s">
        <v>1186</v>
      </c>
      <c r="I369" s="25" t="s">
        <v>209</v>
      </c>
      <c r="J369" s="9">
        <v>7581.96</v>
      </c>
      <c r="K369" s="16">
        <v>1196</v>
      </c>
      <c r="L369" s="11">
        <f t="shared" si="180"/>
        <v>399.6</v>
      </c>
      <c r="M369" s="6"/>
    </row>
    <row r="370" spans="1:13" x14ac:dyDescent="0.25">
      <c r="A370" s="6" t="s">
        <v>847</v>
      </c>
      <c r="B370" s="7">
        <f t="shared" ca="1" si="178"/>
        <v>130</v>
      </c>
      <c r="C370" s="12">
        <v>4</v>
      </c>
      <c r="D370" s="10">
        <v>99.9</v>
      </c>
      <c r="E370" s="10">
        <f t="shared" si="179"/>
        <v>399.6</v>
      </c>
      <c r="F370" s="7" t="s">
        <v>1184</v>
      </c>
      <c r="G370" s="6" t="s">
        <v>848</v>
      </c>
      <c r="H370" s="7" t="s">
        <v>1186</v>
      </c>
      <c r="I370" s="25" t="s">
        <v>319</v>
      </c>
      <c r="J370" s="9">
        <v>7581.96</v>
      </c>
      <c r="K370" s="16">
        <v>1196</v>
      </c>
      <c r="L370" s="11">
        <f t="shared" si="180"/>
        <v>399.6</v>
      </c>
      <c r="M370" s="6"/>
    </row>
    <row r="371" spans="1:13" x14ac:dyDescent="0.25">
      <c r="A371" s="6" t="s">
        <v>849</v>
      </c>
      <c r="B371" s="7">
        <f t="shared" ca="1" si="178"/>
        <v>135</v>
      </c>
      <c r="C371" s="12">
        <v>5</v>
      </c>
      <c r="D371" s="10">
        <v>99.9</v>
      </c>
      <c r="E371" s="10">
        <f t="shared" si="179"/>
        <v>499.5</v>
      </c>
      <c r="F371" s="7" t="s">
        <v>1184</v>
      </c>
      <c r="G371" s="6" t="s">
        <v>850</v>
      </c>
      <c r="H371" s="7" t="s">
        <v>1188</v>
      </c>
      <c r="I371" s="25" t="s">
        <v>146</v>
      </c>
      <c r="J371" s="9">
        <v>6681.96</v>
      </c>
      <c r="K371" s="16">
        <v>1196</v>
      </c>
      <c r="L371" s="11">
        <f t="shared" si="180"/>
        <v>499.5</v>
      </c>
      <c r="M371" s="6"/>
    </row>
    <row r="372" spans="1:13" x14ac:dyDescent="0.25">
      <c r="A372" s="6" t="s">
        <v>851</v>
      </c>
      <c r="B372" s="7">
        <f ca="1">$I$1-I372</f>
        <v>136</v>
      </c>
      <c r="C372" s="7"/>
      <c r="D372" s="7"/>
      <c r="E372" s="7"/>
      <c r="F372" s="7" t="s">
        <v>1184</v>
      </c>
      <c r="G372" s="6" t="s">
        <v>852</v>
      </c>
      <c r="H372" s="7" t="s">
        <v>1187</v>
      </c>
      <c r="I372" s="25" t="s">
        <v>342</v>
      </c>
      <c r="J372" s="9">
        <v>4611.96</v>
      </c>
      <c r="K372" s="16">
        <v>1196</v>
      </c>
      <c r="L372" s="6"/>
      <c r="M372" s="11">
        <f>K372</f>
        <v>1196</v>
      </c>
    </row>
    <row r="373" spans="1:13" x14ac:dyDescent="0.25">
      <c r="A373" s="6" t="s">
        <v>853</v>
      </c>
      <c r="B373" s="7">
        <f ca="1">$I$1-I373</f>
        <v>140</v>
      </c>
      <c r="C373" s="12">
        <v>5</v>
      </c>
      <c r="D373" s="10">
        <v>99.9</v>
      </c>
      <c r="E373" s="10">
        <f>D373*C373</f>
        <v>499.5</v>
      </c>
      <c r="F373" s="7" t="s">
        <v>1184</v>
      </c>
      <c r="G373" s="6" t="s">
        <v>854</v>
      </c>
      <c r="H373" s="7" t="s">
        <v>1188</v>
      </c>
      <c r="I373" s="25" t="s">
        <v>57</v>
      </c>
      <c r="J373" s="9">
        <v>9082.02</v>
      </c>
      <c r="K373" s="16">
        <v>1196</v>
      </c>
      <c r="L373" s="11">
        <f>E373</f>
        <v>499.5</v>
      </c>
      <c r="M373" s="6"/>
    </row>
    <row r="374" spans="1:13" x14ac:dyDescent="0.25">
      <c r="A374" s="6" t="s">
        <v>855</v>
      </c>
      <c r="B374" s="7">
        <f ca="1">$I$1-I374</f>
        <v>141</v>
      </c>
      <c r="C374" s="7"/>
      <c r="D374" s="7"/>
      <c r="E374" s="7"/>
      <c r="F374" s="7" t="s">
        <v>1184</v>
      </c>
      <c r="G374" s="6" t="s">
        <v>856</v>
      </c>
      <c r="H374" s="7" t="s">
        <v>1187</v>
      </c>
      <c r="I374" s="25" t="s">
        <v>53</v>
      </c>
      <c r="J374" s="9">
        <v>4842.54</v>
      </c>
      <c r="K374" s="16">
        <v>1196</v>
      </c>
      <c r="L374" s="6"/>
      <c r="M374" s="11">
        <f>K374</f>
        <v>1196</v>
      </c>
    </row>
    <row r="375" spans="1:13" x14ac:dyDescent="0.25">
      <c r="A375" s="6" t="s">
        <v>857</v>
      </c>
      <c r="B375" s="7">
        <f t="shared" ref="B375:B376" ca="1" si="181">$I$1-I375</f>
        <v>140</v>
      </c>
      <c r="C375" s="12">
        <v>5</v>
      </c>
      <c r="D375" s="10">
        <v>99.9</v>
      </c>
      <c r="E375" s="10">
        <f t="shared" ref="E375:E376" si="182">D375*C375</f>
        <v>499.5</v>
      </c>
      <c r="F375" s="7" t="s">
        <v>1184</v>
      </c>
      <c r="G375" s="6" t="s">
        <v>858</v>
      </c>
      <c r="H375" s="7" t="s">
        <v>1188</v>
      </c>
      <c r="I375" s="25" t="s">
        <v>57</v>
      </c>
      <c r="J375" s="9">
        <v>6681.96</v>
      </c>
      <c r="K375" s="16">
        <v>1196</v>
      </c>
      <c r="L375" s="11">
        <f t="shared" ref="L375:L376" si="183">E375</f>
        <v>499.5</v>
      </c>
      <c r="M375" s="6"/>
    </row>
    <row r="376" spans="1:13" x14ac:dyDescent="0.25">
      <c r="A376" s="6" t="s">
        <v>859</v>
      </c>
      <c r="B376" s="7">
        <f t="shared" ca="1" si="181"/>
        <v>131</v>
      </c>
      <c r="C376" s="12">
        <v>4</v>
      </c>
      <c r="D376" s="10">
        <v>99.9</v>
      </c>
      <c r="E376" s="10">
        <f t="shared" si="182"/>
        <v>399.6</v>
      </c>
      <c r="F376" s="7" t="s">
        <v>1184</v>
      </c>
      <c r="G376" s="6" t="s">
        <v>860</v>
      </c>
      <c r="H376" s="7" t="s">
        <v>1186</v>
      </c>
      <c r="I376" s="25" t="s">
        <v>6</v>
      </c>
      <c r="J376" s="9">
        <v>7581.96</v>
      </c>
      <c r="K376" s="16">
        <v>1196</v>
      </c>
      <c r="L376" s="11">
        <f t="shared" si="183"/>
        <v>399.6</v>
      </c>
      <c r="M376" s="6"/>
    </row>
    <row r="377" spans="1:13" x14ac:dyDescent="0.25">
      <c r="A377" s="6" t="s">
        <v>861</v>
      </c>
      <c r="B377" s="7">
        <f t="shared" ref="B377:B378" ca="1" si="184">$I$1-I377</f>
        <v>129</v>
      </c>
      <c r="C377" s="7"/>
      <c r="D377" s="7"/>
      <c r="E377" s="7"/>
      <c r="F377" s="7" t="s">
        <v>1184</v>
      </c>
      <c r="G377" s="6" t="s">
        <v>862</v>
      </c>
      <c r="H377" s="7" t="s">
        <v>13</v>
      </c>
      <c r="I377" s="25" t="s">
        <v>293</v>
      </c>
      <c r="J377" s="9">
        <v>4188</v>
      </c>
      <c r="K377" s="16">
        <v>1196</v>
      </c>
      <c r="L377" s="6"/>
      <c r="M377" s="11">
        <f t="shared" ref="M377:M378" si="185">K377</f>
        <v>1196</v>
      </c>
    </row>
    <row r="378" spans="1:13" x14ac:dyDescent="0.25">
      <c r="A378" s="6" t="s">
        <v>863</v>
      </c>
      <c r="B378" s="7">
        <f t="shared" ca="1" si="184"/>
        <v>140</v>
      </c>
      <c r="C378" s="7"/>
      <c r="D378" s="7"/>
      <c r="E378" s="7"/>
      <c r="F378" s="7" t="s">
        <v>1184</v>
      </c>
      <c r="G378" s="6" t="s">
        <v>864</v>
      </c>
      <c r="H378" s="7" t="s">
        <v>1187</v>
      </c>
      <c r="I378" s="25" t="s">
        <v>57</v>
      </c>
      <c r="J378" s="9">
        <v>4361.96</v>
      </c>
      <c r="K378" s="16">
        <v>1196</v>
      </c>
      <c r="L378" s="6"/>
      <c r="M378" s="11">
        <f t="shared" si="185"/>
        <v>1196</v>
      </c>
    </row>
    <row r="379" spans="1:13" x14ac:dyDescent="0.25">
      <c r="A379" s="6" t="s">
        <v>865</v>
      </c>
      <c r="B379" s="7">
        <f ca="1">$I$1-I379</f>
        <v>133</v>
      </c>
      <c r="C379" s="12">
        <v>4</v>
      </c>
      <c r="D379" s="10">
        <v>99.9</v>
      </c>
      <c r="E379" s="10">
        <f>D379*C379</f>
        <v>399.6</v>
      </c>
      <c r="F379" s="7" t="s">
        <v>1184</v>
      </c>
      <c r="G379" s="6" t="s">
        <v>866</v>
      </c>
      <c r="H379" s="7" t="s">
        <v>1188</v>
      </c>
      <c r="I379" s="25" t="s">
        <v>209</v>
      </c>
      <c r="J379" s="9">
        <v>6681.96</v>
      </c>
      <c r="K379" s="16">
        <v>1196</v>
      </c>
      <c r="L379" s="11">
        <f>E379</f>
        <v>399.6</v>
      </c>
      <c r="M379" s="6"/>
    </row>
    <row r="380" spans="1:13" x14ac:dyDescent="0.25">
      <c r="A380" s="6" t="s">
        <v>867</v>
      </c>
      <c r="B380" s="7">
        <f ca="1">$I$1-I380</f>
        <v>139</v>
      </c>
      <c r="C380" s="7"/>
      <c r="D380" s="7"/>
      <c r="E380" s="7"/>
      <c r="F380" s="7" t="s">
        <v>1184</v>
      </c>
      <c r="G380" s="6" t="s">
        <v>868</v>
      </c>
      <c r="H380" s="7" t="s">
        <v>1187</v>
      </c>
      <c r="I380" s="25" t="s">
        <v>61</v>
      </c>
      <c r="J380" s="9">
        <v>4611.96</v>
      </c>
      <c r="K380" s="16">
        <v>1196</v>
      </c>
      <c r="L380" s="6"/>
      <c r="M380" s="11">
        <f>K380</f>
        <v>1196</v>
      </c>
    </row>
    <row r="381" spans="1:13" x14ac:dyDescent="0.25">
      <c r="A381" s="6" t="s">
        <v>869</v>
      </c>
      <c r="B381" s="7">
        <f ca="1">$I$1-I381</f>
        <v>139</v>
      </c>
      <c r="C381" s="12">
        <v>5</v>
      </c>
      <c r="D381" s="10">
        <v>99.9</v>
      </c>
      <c r="E381" s="10">
        <f>D381*C381</f>
        <v>499.5</v>
      </c>
      <c r="F381" s="7" t="s">
        <v>1184</v>
      </c>
      <c r="G381" s="6" t="s">
        <v>870</v>
      </c>
      <c r="H381" s="7" t="s">
        <v>1188</v>
      </c>
      <c r="I381" s="25" t="s">
        <v>61</v>
      </c>
      <c r="J381" s="9">
        <v>6681.96</v>
      </c>
      <c r="K381" s="16">
        <v>1196</v>
      </c>
      <c r="L381" s="11">
        <f>E381</f>
        <v>499.5</v>
      </c>
      <c r="M381" s="6"/>
    </row>
    <row r="382" spans="1:13" x14ac:dyDescent="0.25">
      <c r="A382" s="6" t="s">
        <v>871</v>
      </c>
      <c r="B382" s="7">
        <f t="shared" ref="B382:B383" ca="1" si="186">$I$1-I382</f>
        <v>138</v>
      </c>
      <c r="C382" s="7"/>
      <c r="D382" s="7"/>
      <c r="E382" s="7"/>
      <c r="F382" s="7" t="s">
        <v>1184</v>
      </c>
      <c r="G382" s="6" t="s">
        <v>872</v>
      </c>
      <c r="H382" s="7" t="s">
        <v>1187</v>
      </c>
      <c r="I382" s="25" t="s">
        <v>59</v>
      </c>
      <c r="J382" s="9">
        <v>4611.96</v>
      </c>
      <c r="K382" s="16">
        <v>1196</v>
      </c>
      <c r="L382" s="6"/>
      <c r="M382" s="11">
        <f t="shared" ref="M382:M383" si="187">K382</f>
        <v>1196</v>
      </c>
    </row>
    <row r="383" spans="1:13" x14ac:dyDescent="0.25">
      <c r="A383" s="6" t="s">
        <v>873</v>
      </c>
      <c r="B383" s="7">
        <f t="shared" ca="1" si="186"/>
        <v>138</v>
      </c>
      <c r="C383" s="7"/>
      <c r="D383" s="7"/>
      <c r="E383" s="7"/>
      <c r="F383" s="7" t="s">
        <v>1184</v>
      </c>
      <c r="G383" s="6" t="s">
        <v>874</v>
      </c>
      <c r="H383" s="7" t="s">
        <v>1187</v>
      </c>
      <c r="I383" s="25" t="s">
        <v>59</v>
      </c>
      <c r="J383" s="9">
        <v>4611.96</v>
      </c>
      <c r="K383" s="16">
        <v>1196</v>
      </c>
      <c r="L383" s="6"/>
      <c r="M383" s="11">
        <f t="shared" si="187"/>
        <v>1196</v>
      </c>
    </row>
    <row r="384" spans="1:13" x14ac:dyDescent="0.25">
      <c r="A384" s="6" t="s">
        <v>875</v>
      </c>
      <c r="B384" s="7">
        <f ca="1">$I$1-I384</f>
        <v>138</v>
      </c>
      <c r="C384" s="12">
        <v>5</v>
      </c>
      <c r="D384" s="10">
        <v>99.9</v>
      </c>
      <c r="E384" s="10">
        <f>D384*C384</f>
        <v>499.5</v>
      </c>
      <c r="F384" s="7" t="s">
        <v>1184</v>
      </c>
      <c r="G384" s="6" t="s">
        <v>876</v>
      </c>
      <c r="H384" s="7" t="s">
        <v>1188</v>
      </c>
      <c r="I384" s="25" t="s">
        <v>59</v>
      </c>
      <c r="J384" s="9">
        <v>6681.96</v>
      </c>
      <c r="K384" s="16">
        <v>1196</v>
      </c>
      <c r="L384" s="11">
        <f>E384</f>
        <v>499.5</v>
      </c>
      <c r="M384" s="6"/>
    </row>
    <row r="385" spans="1:13" x14ac:dyDescent="0.25">
      <c r="A385" s="6" t="s">
        <v>877</v>
      </c>
      <c r="B385" s="7">
        <f ca="1">$I$1-I385</f>
        <v>135</v>
      </c>
      <c r="C385" s="7"/>
      <c r="D385" s="7"/>
      <c r="E385" s="7"/>
      <c r="F385" s="7" t="s">
        <v>1184</v>
      </c>
      <c r="G385" s="6" t="s">
        <v>878</v>
      </c>
      <c r="H385" s="7" t="s">
        <v>1187</v>
      </c>
      <c r="I385" s="25" t="s">
        <v>146</v>
      </c>
      <c r="J385" s="9">
        <v>4611.96</v>
      </c>
      <c r="K385" s="16">
        <v>1196</v>
      </c>
      <c r="L385" s="6"/>
      <c r="M385" s="11">
        <f>K385</f>
        <v>1196</v>
      </c>
    </row>
    <row r="386" spans="1:13" x14ac:dyDescent="0.25">
      <c r="A386" s="6" t="s">
        <v>879</v>
      </c>
      <c r="B386" s="7">
        <f ca="1">$I$1-I386</f>
        <v>135</v>
      </c>
      <c r="C386" s="12">
        <v>5</v>
      </c>
      <c r="D386" s="10">
        <v>99.9</v>
      </c>
      <c r="E386" s="10">
        <f>D386*C386</f>
        <v>499.5</v>
      </c>
      <c r="F386" s="7" t="s">
        <v>1184</v>
      </c>
      <c r="G386" s="6" t="s">
        <v>880</v>
      </c>
      <c r="H386" s="7" t="s">
        <v>1186</v>
      </c>
      <c r="I386" s="25" t="s">
        <v>146</v>
      </c>
      <c r="J386" s="9">
        <v>7581.96</v>
      </c>
      <c r="K386" s="16">
        <v>1196</v>
      </c>
      <c r="L386" s="11">
        <f>E386</f>
        <v>499.5</v>
      </c>
      <c r="M386" s="6"/>
    </row>
    <row r="387" spans="1:13" x14ac:dyDescent="0.25">
      <c r="A387" s="6" t="s">
        <v>881</v>
      </c>
      <c r="B387" s="7">
        <f t="shared" ref="B387:B389" ca="1" si="188">$I$1-I387</f>
        <v>140</v>
      </c>
      <c r="C387" s="7"/>
      <c r="D387" s="7"/>
      <c r="E387" s="7"/>
      <c r="F387" s="7" t="s">
        <v>1184</v>
      </c>
      <c r="G387" s="6" t="s">
        <v>882</v>
      </c>
      <c r="H387" s="7" t="s">
        <v>1187</v>
      </c>
      <c r="I387" s="25" t="s">
        <v>57</v>
      </c>
      <c r="J387" s="9">
        <v>4611.96</v>
      </c>
      <c r="K387" s="16">
        <v>1196</v>
      </c>
      <c r="L387" s="6"/>
      <c r="M387" s="11">
        <f t="shared" ref="M387:M389" si="189">K387</f>
        <v>1196</v>
      </c>
    </row>
    <row r="388" spans="1:13" x14ac:dyDescent="0.25">
      <c r="A388" s="6" t="s">
        <v>883</v>
      </c>
      <c r="B388" s="7">
        <f t="shared" ca="1" si="188"/>
        <v>137</v>
      </c>
      <c r="C388" s="7"/>
      <c r="D388" s="7"/>
      <c r="E388" s="7"/>
      <c r="F388" s="7" t="s">
        <v>1184</v>
      </c>
      <c r="G388" s="6" t="s">
        <v>884</v>
      </c>
      <c r="H388" s="7" t="s">
        <v>1187</v>
      </c>
      <c r="I388" s="25" t="s">
        <v>66</v>
      </c>
      <c r="J388" s="9">
        <v>4611.96</v>
      </c>
      <c r="K388" s="16">
        <v>1196</v>
      </c>
      <c r="L388" s="6"/>
      <c r="M388" s="11">
        <f t="shared" si="189"/>
        <v>1196</v>
      </c>
    </row>
    <row r="389" spans="1:13" x14ac:dyDescent="0.25">
      <c r="A389" s="6" t="s">
        <v>885</v>
      </c>
      <c r="B389" s="7">
        <f t="shared" ca="1" si="188"/>
        <v>137</v>
      </c>
      <c r="C389" s="7"/>
      <c r="D389" s="7"/>
      <c r="E389" s="7"/>
      <c r="F389" s="7" t="s">
        <v>1184</v>
      </c>
      <c r="G389" s="6" t="s">
        <v>886</v>
      </c>
      <c r="H389" s="7" t="s">
        <v>1187</v>
      </c>
      <c r="I389" s="25" t="s">
        <v>66</v>
      </c>
      <c r="J389" s="9">
        <v>4611.96</v>
      </c>
      <c r="K389" s="16">
        <v>1196</v>
      </c>
      <c r="L389" s="6"/>
      <c r="M389" s="11">
        <f t="shared" si="189"/>
        <v>1196</v>
      </c>
    </row>
    <row r="390" spans="1:13" x14ac:dyDescent="0.25">
      <c r="A390" s="6" t="s">
        <v>887</v>
      </c>
      <c r="B390" s="6"/>
      <c r="C390" s="6"/>
      <c r="D390" s="6"/>
      <c r="E390" s="6"/>
      <c r="F390" s="7" t="s">
        <v>1184</v>
      </c>
      <c r="G390" s="6" t="s">
        <v>888</v>
      </c>
      <c r="H390" s="7" t="s">
        <v>1189</v>
      </c>
      <c r="I390" s="25" t="s">
        <v>319</v>
      </c>
      <c r="J390" s="9">
        <v>6681.96</v>
      </c>
      <c r="K390" s="16">
        <v>1196</v>
      </c>
      <c r="L390" s="6"/>
      <c r="M390" s="11">
        <f>K390</f>
        <v>1196</v>
      </c>
    </row>
    <row r="391" spans="1:13" x14ac:dyDescent="0.25">
      <c r="A391" s="6" t="s">
        <v>889</v>
      </c>
      <c r="B391" s="7">
        <f t="shared" ref="B391:B396" ca="1" si="190">$I$1-I391</f>
        <v>88</v>
      </c>
      <c r="C391" s="12">
        <v>3</v>
      </c>
      <c r="D391" s="10">
        <v>99.9</v>
      </c>
      <c r="E391" s="10">
        <f t="shared" ref="E391:E396" si="191">D391*C391</f>
        <v>299.70000000000005</v>
      </c>
      <c r="F391" s="7" t="s">
        <v>1184</v>
      </c>
      <c r="G391" s="6" t="s">
        <v>890</v>
      </c>
      <c r="H391" s="7" t="s">
        <v>1186</v>
      </c>
      <c r="I391" s="25" t="s">
        <v>416</v>
      </c>
      <c r="J391" s="9">
        <v>7581.96</v>
      </c>
      <c r="K391" s="16">
        <v>1196</v>
      </c>
      <c r="L391" s="11">
        <f t="shared" ref="L391:L396" si="192">E391</f>
        <v>299.70000000000005</v>
      </c>
      <c r="M391" s="6"/>
    </row>
    <row r="392" spans="1:13" x14ac:dyDescent="0.25">
      <c r="A392" s="6" t="s">
        <v>891</v>
      </c>
      <c r="B392" s="7">
        <f t="shared" ca="1" si="190"/>
        <v>130</v>
      </c>
      <c r="C392" s="12">
        <v>4</v>
      </c>
      <c r="D392" s="10">
        <v>99.9</v>
      </c>
      <c r="E392" s="10">
        <f t="shared" si="191"/>
        <v>399.6</v>
      </c>
      <c r="F392" s="7" t="s">
        <v>1184</v>
      </c>
      <c r="G392" s="6" t="s">
        <v>892</v>
      </c>
      <c r="H392" s="7" t="s">
        <v>1188</v>
      </c>
      <c r="I392" s="25" t="s">
        <v>319</v>
      </c>
      <c r="J392" s="9">
        <v>6681.96</v>
      </c>
      <c r="K392" s="16">
        <v>1196</v>
      </c>
      <c r="L392" s="11">
        <f t="shared" si="192"/>
        <v>399.6</v>
      </c>
      <c r="M392" s="6"/>
    </row>
    <row r="393" spans="1:13" x14ac:dyDescent="0.25">
      <c r="A393" s="6" t="s">
        <v>893</v>
      </c>
      <c r="B393" s="7">
        <f t="shared" ca="1" si="190"/>
        <v>124</v>
      </c>
      <c r="C393" s="12">
        <v>4</v>
      </c>
      <c r="D393" s="10">
        <v>99.9</v>
      </c>
      <c r="E393" s="10">
        <f t="shared" si="191"/>
        <v>399.6</v>
      </c>
      <c r="F393" s="7" t="s">
        <v>1184</v>
      </c>
      <c r="G393" s="6" t="s">
        <v>894</v>
      </c>
      <c r="H393" s="7" t="s">
        <v>1186</v>
      </c>
      <c r="I393" s="25" t="s">
        <v>78</v>
      </c>
      <c r="J393" s="9">
        <v>7581.96</v>
      </c>
      <c r="K393" s="16">
        <v>1196</v>
      </c>
      <c r="L393" s="11">
        <f t="shared" si="192"/>
        <v>399.6</v>
      </c>
      <c r="M393" s="6"/>
    </row>
    <row r="394" spans="1:13" x14ac:dyDescent="0.25">
      <c r="A394" s="6" t="s">
        <v>895</v>
      </c>
      <c r="B394" s="7">
        <f t="shared" ca="1" si="190"/>
        <v>129</v>
      </c>
      <c r="C394" s="12">
        <v>4</v>
      </c>
      <c r="D394" s="10">
        <v>99.9</v>
      </c>
      <c r="E394" s="10">
        <f t="shared" si="191"/>
        <v>399.6</v>
      </c>
      <c r="F394" s="7" t="s">
        <v>1184</v>
      </c>
      <c r="G394" s="6" t="s">
        <v>896</v>
      </c>
      <c r="H394" s="7" t="s">
        <v>1188</v>
      </c>
      <c r="I394" s="25" t="s">
        <v>293</v>
      </c>
      <c r="J394" s="9">
        <v>6681.96</v>
      </c>
      <c r="K394" s="16">
        <v>1196</v>
      </c>
      <c r="L394" s="11">
        <f t="shared" si="192"/>
        <v>399.6</v>
      </c>
      <c r="M394" s="6"/>
    </row>
    <row r="395" spans="1:13" x14ac:dyDescent="0.25">
      <c r="A395" s="6" t="s">
        <v>897</v>
      </c>
      <c r="B395" s="7">
        <f t="shared" ca="1" si="190"/>
        <v>125</v>
      </c>
      <c r="C395" s="12">
        <v>4</v>
      </c>
      <c r="D395" s="10">
        <v>99.9</v>
      </c>
      <c r="E395" s="10">
        <f t="shared" si="191"/>
        <v>399.6</v>
      </c>
      <c r="F395" s="7" t="s">
        <v>1184</v>
      </c>
      <c r="G395" s="6" t="s">
        <v>898</v>
      </c>
      <c r="H395" s="7" t="s">
        <v>1186</v>
      </c>
      <c r="I395" s="25" t="s">
        <v>75</v>
      </c>
      <c r="J395" s="9">
        <v>7581.96</v>
      </c>
      <c r="K395" s="16">
        <v>1196</v>
      </c>
      <c r="L395" s="11">
        <f t="shared" si="192"/>
        <v>399.6</v>
      </c>
      <c r="M395" s="6"/>
    </row>
    <row r="396" spans="1:13" x14ac:dyDescent="0.25">
      <c r="A396" s="6" t="s">
        <v>899</v>
      </c>
      <c r="B396" s="7">
        <f t="shared" ca="1" si="190"/>
        <v>137</v>
      </c>
      <c r="C396" s="12">
        <v>5</v>
      </c>
      <c r="D396" s="10">
        <v>99.9</v>
      </c>
      <c r="E396" s="10">
        <f t="shared" si="191"/>
        <v>499.5</v>
      </c>
      <c r="F396" s="7" t="s">
        <v>1184</v>
      </c>
      <c r="G396" s="6" t="s">
        <v>900</v>
      </c>
      <c r="H396" s="7" t="s">
        <v>1188</v>
      </c>
      <c r="I396" s="25" t="s">
        <v>66</v>
      </c>
      <c r="J396" s="9">
        <v>6681.96</v>
      </c>
      <c r="K396" s="16">
        <v>1196</v>
      </c>
      <c r="L396" s="11">
        <f t="shared" si="192"/>
        <v>499.5</v>
      </c>
      <c r="M396" s="6"/>
    </row>
    <row r="397" spans="1:13" x14ac:dyDescent="0.25">
      <c r="A397" s="6" t="s">
        <v>901</v>
      </c>
      <c r="B397" s="7">
        <f ca="1">$I$1-I397</f>
        <v>144</v>
      </c>
      <c r="C397" s="7"/>
      <c r="D397" s="7"/>
      <c r="E397" s="7"/>
      <c r="F397" s="7" t="s">
        <v>1184</v>
      </c>
      <c r="G397" s="6" t="s">
        <v>902</v>
      </c>
      <c r="H397" s="7" t="s">
        <v>13</v>
      </c>
      <c r="I397" s="25" t="s">
        <v>612</v>
      </c>
      <c r="J397" s="9">
        <v>4188</v>
      </c>
      <c r="K397" s="16">
        <v>1196</v>
      </c>
      <c r="L397" s="6"/>
      <c r="M397" s="11">
        <f>K397</f>
        <v>1196</v>
      </c>
    </row>
    <row r="398" spans="1:13" x14ac:dyDescent="0.25">
      <c r="A398" s="6" t="s">
        <v>903</v>
      </c>
      <c r="B398" s="7">
        <f t="shared" ref="B398:B399" ca="1" si="193">$I$1-I398</f>
        <v>122</v>
      </c>
      <c r="C398" s="12">
        <v>4</v>
      </c>
      <c r="D398" s="10">
        <v>99.9</v>
      </c>
      <c r="E398" s="10">
        <f t="shared" ref="E398:E399" si="194">D398*C398</f>
        <v>399.6</v>
      </c>
      <c r="F398" s="7" t="s">
        <v>1184</v>
      </c>
      <c r="G398" s="6" t="s">
        <v>904</v>
      </c>
      <c r="H398" s="7" t="s">
        <v>1188</v>
      </c>
      <c r="I398" s="25" t="s">
        <v>260</v>
      </c>
      <c r="J398" s="9">
        <v>6681.96</v>
      </c>
      <c r="K398" s="16">
        <v>1196</v>
      </c>
      <c r="L398" s="11">
        <f t="shared" ref="L398:L399" si="195">E398</f>
        <v>399.6</v>
      </c>
      <c r="M398" s="6"/>
    </row>
    <row r="399" spans="1:13" x14ac:dyDescent="0.25">
      <c r="A399" s="6" t="s">
        <v>905</v>
      </c>
      <c r="B399" s="7">
        <f t="shared" ca="1" si="193"/>
        <v>144</v>
      </c>
      <c r="C399" s="12">
        <v>5</v>
      </c>
      <c r="D399" s="10">
        <v>99.9</v>
      </c>
      <c r="E399" s="10">
        <f t="shared" si="194"/>
        <v>499.5</v>
      </c>
      <c r="F399" s="7" t="s">
        <v>1184</v>
      </c>
      <c r="G399" s="6" t="s">
        <v>906</v>
      </c>
      <c r="H399" s="7" t="s">
        <v>1188</v>
      </c>
      <c r="I399" s="25" t="s">
        <v>612</v>
      </c>
      <c r="J399" s="9">
        <v>6681.96</v>
      </c>
      <c r="K399" s="16">
        <v>1196</v>
      </c>
      <c r="L399" s="11">
        <f t="shared" si="195"/>
        <v>499.5</v>
      </c>
      <c r="M399" s="6"/>
    </row>
    <row r="400" spans="1:13" x14ac:dyDescent="0.25">
      <c r="A400" s="6" t="s">
        <v>907</v>
      </c>
      <c r="B400" s="7">
        <f t="shared" ref="B400:B401" ca="1" si="196">$I$1-I400</f>
        <v>141</v>
      </c>
      <c r="C400" s="7"/>
      <c r="D400" s="7"/>
      <c r="E400" s="7"/>
      <c r="F400" s="7" t="s">
        <v>1184</v>
      </c>
      <c r="G400" s="6" t="s">
        <v>908</v>
      </c>
      <c r="H400" s="7" t="s">
        <v>13</v>
      </c>
      <c r="I400" s="25" t="s">
        <v>53</v>
      </c>
      <c r="J400" s="9">
        <v>4188</v>
      </c>
      <c r="K400" s="16">
        <v>1196</v>
      </c>
      <c r="L400" s="6"/>
      <c r="M400" s="11">
        <f t="shared" ref="M400:M401" si="197">K400</f>
        <v>1196</v>
      </c>
    </row>
    <row r="401" spans="1:13" x14ac:dyDescent="0.25">
      <c r="A401" s="6" t="s">
        <v>909</v>
      </c>
      <c r="B401" s="7">
        <f t="shared" ca="1" si="196"/>
        <v>114</v>
      </c>
      <c r="C401" s="7"/>
      <c r="D401" s="7"/>
      <c r="E401" s="7"/>
      <c r="F401" s="7" t="s">
        <v>1184</v>
      </c>
      <c r="G401" s="6" t="s">
        <v>910</v>
      </c>
      <c r="H401" s="7" t="s">
        <v>1187</v>
      </c>
      <c r="I401" s="25" t="s">
        <v>10</v>
      </c>
      <c r="J401" s="9">
        <v>4842.54</v>
      </c>
      <c r="K401" s="16">
        <v>1196</v>
      </c>
      <c r="L401" s="6"/>
      <c r="M401" s="11">
        <f t="shared" si="197"/>
        <v>1196</v>
      </c>
    </row>
    <row r="402" spans="1:13" x14ac:dyDescent="0.25">
      <c r="A402" s="6" t="s">
        <v>911</v>
      </c>
      <c r="B402" s="7">
        <f ca="1">$I$1-I402</f>
        <v>116</v>
      </c>
      <c r="C402" s="12">
        <v>4</v>
      </c>
      <c r="D402" s="10">
        <v>99.9</v>
      </c>
      <c r="E402" s="10">
        <f>D402*C402</f>
        <v>399.6</v>
      </c>
      <c r="F402" s="7" t="s">
        <v>1184</v>
      </c>
      <c r="G402" s="6" t="s">
        <v>912</v>
      </c>
      <c r="H402" s="7" t="s">
        <v>1188</v>
      </c>
      <c r="I402" s="25" t="s">
        <v>226</v>
      </c>
      <c r="J402" s="9">
        <v>9081.9599999999991</v>
      </c>
      <c r="K402" s="16">
        <v>1196</v>
      </c>
      <c r="L402" s="11">
        <f>E402</f>
        <v>399.6</v>
      </c>
      <c r="M402" s="6"/>
    </row>
    <row r="403" spans="1:13" x14ac:dyDescent="0.25">
      <c r="A403" s="6" t="s">
        <v>913</v>
      </c>
      <c r="B403" s="7">
        <f ca="1">$I$1-I403</f>
        <v>133</v>
      </c>
      <c r="C403" s="7"/>
      <c r="D403" s="7"/>
      <c r="E403" s="7"/>
      <c r="F403" s="7" t="s">
        <v>1184</v>
      </c>
      <c r="G403" s="6" t="s">
        <v>914</v>
      </c>
      <c r="H403" s="7" t="s">
        <v>1187</v>
      </c>
      <c r="I403" s="25" t="s">
        <v>209</v>
      </c>
      <c r="J403" s="9">
        <v>4611.96</v>
      </c>
      <c r="K403" s="16">
        <v>1196</v>
      </c>
      <c r="L403" s="6"/>
      <c r="M403" s="11">
        <f>K403</f>
        <v>1196</v>
      </c>
    </row>
    <row r="404" spans="1:13" x14ac:dyDescent="0.25">
      <c r="A404" s="6" t="s">
        <v>915</v>
      </c>
      <c r="B404" s="6"/>
      <c r="C404" s="6"/>
      <c r="D404" s="6"/>
      <c r="E404" s="6"/>
      <c r="F404" s="7" t="s">
        <v>1184</v>
      </c>
      <c r="G404" s="6" t="s">
        <v>916</v>
      </c>
      <c r="H404" s="7" t="s">
        <v>1189</v>
      </c>
      <c r="I404" s="25" t="s">
        <v>128</v>
      </c>
      <c r="J404" s="9">
        <v>6681.96</v>
      </c>
      <c r="K404" s="16">
        <v>1196</v>
      </c>
      <c r="L404" s="6"/>
      <c r="M404" s="11">
        <f>K404</f>
        <v>1196</v>
      </c>
    </row>
    <row r="405" spans="1:13" x14ac:dyDescent="0.25">
      <c r="A405" s="6" t="s">
        <v>917</v>
      </c>
      <c r="B405" s="7">
        <f ca="1">$I$1-I405</f>
        <v>129</v>
      </c>
      <c r="C405" s="12">
        <v>4</v>
      </c>
      <c r="D405" s="10">
        <v>99.9</v>
      </c>
      <c r="E405" s="10">
        <f>D405*C405</f>
        <v>399.6</v>
      </c>
      <c r="F405" s="7" t="s">
        <v>1184</v>
      </c>
      <c r="G405" s="6" t="s">
        <v>918</v>
      </c>
      <c r="H405" s="7" t="s">
        <v>1188</v>
      </c>
      <c r="I405" s="25" t="s">
        <v>293</v>
      </c>
      <c r="J405" s="9">
        <v>6681.96</v>
      </c>
      <c r="K405" s="16">
        <v>1196</v>
      </c>
      <c r="L405" s="11">
        <f>E405</f>
        <v>399.6</v>
      </c>
      <c r="M405" s="6"/>
    </row>
    <row r="406" spans="1:13" x14ac:dyDescent="0.25">
      <c r="A406" s="6" t="s">
        <v>919</v>
      </c>
      <c r="B406" s="6"/>
      <c r="C406" s="6"/>
      <c r="D406" s="6"/>
      <c r="E406" s="6"/>
      <c r="F406" s="7" t="s">
        <v>1184</v>
      </c>
      <c r="G406" s="6" t="s">
        <v>920</v>
      </c>
      <c r="H406" s="7" t="s">
        <v>1189</v>
      </c>
      <c r="I406" s="25" t="s">
        <v>146</v>
      </c>
      <c r="J406" s="9">
        <v>4611.96</v>
      </c>
      <c r="K406" s="16">
        <v>1196</v>
      </c>
      <c r="L406" s="6"/>
      <c r="M406" s="11">
        <f>K406</f>
        <v>1196</v>
      </c>
    </row>
    <row r="407" spans="1:13" x14ac:dyDescent="0.25">
      <c r="A407" s="6" t="s">
        <v>921</v>
      </c>
      <c r="B407" s="7">
        <f ca="1">$I$1-I407</f>
        <v>125</v>
      </c>
      <c r="C407" s="12">
        <v>4</v>
      </c>
      <c r="D407" s="10">
        <v>99.9</v>
      </c>
      <c r="E407" s="10">
        <f>D407*C407</f>
        <v>399.6</v>
      </c>
      <c r="F407" s="7" t="s">
        <v>1184</v>
      </c>
      <c r="G407" s="6" t="s">
        <v>922</v>
      </c>
      <c r="H407" s="7" t="s">
        <v>1188</v>
      </c>
      <c r="I407" s="25" t="s">
        <v>75</v>
      </c>
      <c r="J407" s="9">
        <v>6681.96</v>
      </c>
      <c r="K407" s="16">
        <v>1196</v>
      </c>
      <c r="L407" s="11">
        <f>E407</f>
        <v>399.6</v>
      </c>
      <c r="M407" s="6"/>
    </row>
    <row r="408" spans="1:13" x14ac:dyDescent="0.25">
      <c r="A408" s="6" t="s">
        <v>923</v>
      </c>
      <c r="B408" s="7">
        <f t="shared" ref="B408:B409" ca="1" si="198">$I$1-I408</f>
        <v>83</v>
      </c>
      <c r="C408" s="7"/>
      <c r="D408" s="7"/>
      <c r="E408" s="7"/>
      <c r="F408" s="7" t="s">
        <v>1184</v>
      </c>
      <c r="G408" s="6" t="s">
        <v>924</v>
      </c>
      <c r="H408" s="7" t="s">
        <v>1187</v>
      </c>
      <c r="I408" s="25" t="s">
        <v>135</v>
      </c>
      <c r="J408" s="9">
        <v>4842.54</v>
      </c>
      <c r="K408" s="16">
        <v>1196</v>
      </c>
      <c r="L408" s="6"/>
      <c r="M408" s="11">
        <f t="shared" ref="M408:M409" si="199">K408</f>
        <v>1196</v>
      </c>
    </row>
    <row r="409" spans="1:13" x14ac:dyDescent="0.25">
      <c r="A409" s="6" t="s">
        <v>925</v>
      </c>
      <c r="B409" s="7">
        <f t="shared" ca="1" si="198"/>
        <v>88</v>
      </c>
      <c r="C409" s="7"/>
      <c r="D409" s="7"/>
      <c r="E409" s="7"/>
      <c r="F409" s="7" t="s">
        <v>1184</v>
      </c>
      <c r="G409" s="6" t="s">
        <v>926</v>
      </c>
      <c r="H409" s="7" t="s">
        <v>1187</v>
      </c>
      <c r="I409" s="25" t="s">
        <v>416</v>
      </c>
      <c r="J409" s="9">
        <v>5811.96</v>
      </c>
      <c r="K409" s="16">
        <v>1196</v>
      </c>
      <c r="L409" s="6"/>
      <c r="M409" s="11">
        <f t="shared" si="199"/>
        <v>1196</v>
      </c>
    </row>
    <row r="410" spans="1:13" x14ac:dyDescent="0.25">
      <c r="A410" s="6" t="s">
        <v>927</v>
      </c>
      <c r="B410" s="7">
        <f ca="1">$I$1-I410</f>
        <v>115</v>
      </c>
      <c r="C410" s="12">
        <v>4</v>
      </c>
      <c r="D410" s="10">
        <v>99.9</v>
      </c>
      <c r="E410" s="10">
        <f>D410*C410</f>
        <v>399.6</v>
      </c>
      <c r="F410" s="7" t="s">
        <v>1184</v>
      </c>
      <c r="G410" s="6" t="s">
        <v>928</v>
      </c>
      <c r="H410" s="7" t="s">
        <v>1186</v>
      </c>
      <c r="I410" s="25" t="s">
        <v>273</v>
      </c>
      <c r="J410" s="9">
        <v>7581.96</v>
      </c>
      <c r="K410" s="16">
        <v>1196</v>
      </c>
      <c r="L410" s="11">
        <f>E410</f>
        <v>399.6</v>
      </c>
      <c r="M410" s="6"/>
    </row>
    <row r="411" spans="1:13" x14ac:dyDescent="0.25">
      <c r="A411" s="6" t="s">
        <v>929</v>
      </c>
      <c r="B411" s="6"/>
      <c r="C411" s="6"/>
      <c r="D411" s="6"/>
      <c r="E411" s="6"/>
      <c r="F411" s="7" t="s">
        <v>1184</v>
      </c>
      <c r="G411" s="6" t="s">
        <v>930</v>
      </c>
      <c r="H411" s="7" t="s">
        <v>1189</v>
      </c>
      <c r="I411" s="25" t="s">
        <v>931</v>
      </c>
      <c r="J411" s="9">
        <v>6681.96</v>
      </c>
      <c r="K411" s="16">
        <v>1196</v>
      </c>
      <c r="L411" s="6"/>
      <c r="M411" s="11">
        <f t="shared" ref="M411:M412" si="200">K411</f>
        <v>1196</v>
      </c>
    </row>
    <row r="412" spans="1:13" x14ac:dyDescent="0.25">
      <c r="A412" s="6" t="s">
        <v>932</v>
      </c>
      <c r="B412" s="6"/>
      <c r="C412" s="6"/>
      <c r="D412" s="6"/>
      <c r="E412" s="6"/>
      <c r="F412" s="7" t="s">
        <v>1184</v>
      </c>
      <c r="G412" s="6" t="s">
        <v>933</v>
      </c>
      <c r="H412" s="7" t="s">
        <v>1189</v>
      </c>
      <c r="I412" s="25" t="s">
        <v>133</v>
      </c>
      <c r="J412" s="9">
        <v>6579.99</v>
      </c>
      <c r="K412" s="16">
        <v>1196</v>
      </c>
      <c r="L412" s="6"/>
      <c r="M412" s="11">
        <f t="shared" si="200"/>
        <v>1196</v>
      </c>
    </row>
    <row r="413" spans="1:13" x14ac:dyDescent="0.25">
      <c r="A413" s="6" t="s">
        <v>934</v>
      </c>
      <c r="B413" s="7">
        <f t="shared" ref="B413:B422" ca="1" si="201">$I$1-I413</f>
        <v>135</v>
      </c>
      <c r="C413" s="7"/>
      <c r="D413" s="7"/>
      <c r="E413" s="7"/>
      <c r="F413" s="7" t="s">
        <v>1184</v>
      </c>
      <c r="G413" s="6" t="s">
        <v>935</v>
      </c>
      <c r="H413" s="7" t="s">
        <v>13</v>
      </c>
      <c r="I413" s="25" t="s">
        <v>146</v>
      </c>
      <c r="J413" s="9">
        <v>4188</v>
      </c>
      <c r="K413" s="16">
        <v>1196</v>
      </c>
      <c r="L413" s="6"/>
      <c r="M413" s="11">
        <f t="shared" ref="M413:M415" si="202">K413</f>
        <v>1196</v>
      </c>
    </row>
    <row r="414" spans="1:13" x14ac:dyDescent="0.25">
      <c r="A414" s="6" t="s">
        <v>936</v>
      </c>
      <c r="B414" s="7">
        <f t="shared" ca="1" si="201"/>
        <v>129</v>
      </c>
      <c r="C414" s="7"/>
      <c r="D414" s="7"/>
      <c r="E414" s="7"/>
      <c r="F414" s="7" t="s">
        <v>1184</v>
      </c>
      <c r="G414" s="6" t="s">
        <v>937</v>
      </c>
      <c r="H414" s="7" t="s">
        <v>1187</v>
      </c>
      <c r="I414" s="25" t="s">
        <v>293</v>
      </c>
      <c r="J414" s="9">
        <v>4611.96</v>
      </c>
      <c r="K414" s="16">
        <v>1196</v>
      </c>
      <c r="L414" s="6"/>
      <c r="M414" s="11">
        <f t="shared" si="202"/>
        <v>1196</v>
      </c>
    </row>
    <row r="415" spans="1:13" x14ac:dyDescent="0.25">
      <c r="A415" s="6" t="s">
        <v>938</v>
      </c>
      <c r="B415" s="7">
        <f t="shared" ca="1" si="201"/>
        <v>119</v>
      </c>
      <c r="C415" s="7"/>
      <c r="D415" s="7"/>
      <c r="E415" s="7"/>
      <c r="F415" s="7" t="s">
        <v>1184</v>
      </c>
      <c r="G415" s="6" t="s">
        <v>939</v>
      </c>
      <c r="H415" s="7" t="s">
        <v>1187</v>
      </c>
      <c r="I415" s="25" t="s">
        <v>235</v>
      </c>
      <c r="J415" s="9">
        <v>4842.54</v>
      </c>
      <c r="K415" s="16">
        <v>1196</v>
      </c>
      <c r="L415" s="6"/>
      <c r="M415" s="11">
        <f t="shared" si="202"/>
        <v>1196</v>
      </c>
    </row>
    <row r="416" spans="1:13" x14ac:dyDescent="0.25">
      <c r="A416" s="6" t="s">
        <v>940</v>
      </c>
      <c r="B416" s="7">
        <f t="shared" ca="1" si="201"/>
        <v>111</v>
      </c>
      <c r="C416" s="12">
        <v>4</v>
      </c>
      <c r="D416" s="10">
        <v>99.9</v>
      </c>
      <c r="E416" s="10">
        <f t="shared" ref="E416:E422" si="203">D416*C416</f>
        <v>399.6</v>
      </c>
      <c r="F416" s="7" t="s">
        <v>1184</v>
      </c>
      <c r="G416" s="6" t="s">
        <v>941</v>
      </c>
      <c r="H416" s="7" t="s">
        <v>1188</v>
      </c>
      <c r="I416" s="25" t="s">
        <v>91</v>
      </c>
      <c r="J416" s="9">
        <v>6681.96</v>
      </c>
      <c r="K416" s="16">
        <v>1196</v>
      </c>
      <c r="L416" s="11">
        <f t="shared" ref="L416:L422" si="204">E416</f>
        <v>399.6</v>
      </c>
      <c r="M416" s="6"/>
    </row>
    <row r="417" spans="1:13" x14ac:dyDescent="0.25">
      <c r="A417" s="6" t="s">
        <v>942</v>
      </c>
      <c r="B417" s="7">
        <f t="shared" ca="1" si="201"/>
        <v>129</v>
      </c>
      <c r="C417" s="12">
        <v>4</v>
      </c>
      <c r="D417" s="10">
        <v>99.9</v>
      </c>
      <c r="E417" s="10">
        <f t="shared" si="203"/>
        <v>399.6</v>
      </c>
      <c r="F417" s="7" t="s">
        <v>1184</v>
      </c>
      <c r="G417" s="6" t="s">
        <v>943</v>
      </c>
      <c r="H417" s="7" t="s">
        <v>1188</v>
      </c>
      <c r="I417" s="25" t="s">
        <v>293</v>
      </c>
      <c r="J417" s="9">
        <v>6681.96</v>
      </c>
      <c r="K417" s="16">
        <v>1196</v>
      </c>
      <c r="L417" s="11">
        <f t="shared" si="204"/>
        <v>399.6</v>
      </c>
      <c r="M417" s="6"/>
    </row>
    <row r="418" spans="1:13" x14ac:dyDescent="0.25">
      <c r="A418" s="6" t="s">
        <v>944</v>
      </c>
      <c r="B418" s="7">
        <f t="shared" ca="1" si="201"/>
        <v>111</v>
      </c>
      <c r="C418" s="12">
        <v>4</v>
      </c>
      <c r="D418" s="10">
        <v>99.9</v>
      </c>
      <c r="E418" s="10">
        <f t="shared" si="203"/>
        <v>399.6</v>
      </c>
      <c r="F418" s="7" t="s">
        <v>1184</v>
      </c>
      <c r="G418" s="6" t="s">
        <v>945</v>
      </c>
      <c r="H418" s="7" t="s">
        <v>1188</v>
      </c>
      <c r="I418" s="25" t="s">
        <v>91</v>
      </c>
      <c r="J418" s="9">
        <v>6681.96</v>
      </c>
      <c r="K418" s="16">
        <v>1196</v>
      </c>
      <c r="L418" s="11">
        <f t="shared" si="204"/>
        <v>399.6</v>
      </c>
      <c r="M418" s="6"/>
    </row>
    <row r="419" spans="1:13" x14ac:dyDescent="0.25">
      <c r="A419" s="6" t="s">
        <v>946</v>
      </c>
      <c r="B419" s="7">
        <f t="shared" ca="1" si="201"/>
        <v>88</v>
      </c>
      <c r="C419" s="12">
        <v>3</v>
      </c>
      <c r="D419" s="10">
        <v>99.9</v>
      </c>
      <c r="E419" s="10">
        <f t="shared" si="203"/>
        <v>299.70000000000005</v>
      </c>
      <c r="F419" s="7" t="s">
        <v>1184</v>
      </c>
      <c r="G419" s="6" t="s">
        <v>947</v>
      </c>
      <c r="H419" s="7" t="s">
        <v>1186</v>
      </c>
      <c r="I419" s="25" t="s">
        <v>416</v>
      </c>
      <c r="J419" s="9">
        <v>7581.96</v>
      </c>
      <c r="K419" s="16">
        <v>1196</v>
      </c>
      <c r="L419" s="11">
        <f t="shared" si="204"/>
        <v>299.70000000000005</v>
      </c>
      <c r="M419" s="6"/>
    </row>
    <row r="420" spans="1:13" x14ac:dyDescent="0.25">
      <c r="A420" s="6" t="s">
        <v>948</v>
      </c>
      <c r="B420" s="7">
        <f t="shared" ca="1" si="201"/>
        <v>106</v>
      </c>
      <c r="C420" s="12">
        <v>4</v>
      </c>
      <c r="D420" s="10">
        <v>99.9</v>
      </c>
      <c r="E420" s="10">
        <f t="shared" si="203"/>
        <v>399.6</v>
      </c>
      <c r="F420" s="7" t="s">
        <v>1184</v>
      </c>
      <c r="G420" s="6" t="s">
        <v>949</v>
      </c>
      <c r="H420" s="7" t="s">
        <v>1186</v>
      </c>
      <c r="I420" s="25" t="s">
        <v>96</v>
      </c>
      <c r="J420" s="9">
        <v>8781.9599999999991</v>
      </c>
      <c r="K420" s="16">
        <v>1196</v>
      </c>
      <c r="L420" s="11">
        <f t="shared" si="204"/>
        <v>399.6</v>
      </c>
      <c r="M420" s="6"/>
    </row>
    <row r="421" spans="1:13" x14ac:dyDescent="0.25">
      <c r="A421" s="6" t="s">
        <v>950</v>
      </c>
      <c r="B421" s="7">
        <f t="shared" ca="1" si="201"/>
        <v>106</v>
      </c>
      <c r="C421" s="12">
        <v>4</v>
      </c>
      <c r="D421" s="10">
        <v>99.9</v>
      </c>
      <c r="E421" s="10">
        <f t="shared" si="203"/>
        <v>399.6</v>
      </c>
      <c r="F421" s="7" t="s">
        <v>1184</v>
      </c>
      <c r="G421" s="6" t="s">
        <v>951</v>
      </c>
      <c r="H421" s="7" t="s">
        <v>1188</v>
      </c>
      <c r="I421" s="25" t="s">
        <v>96</v>
      </c>
      <c r="J421" s="9">
        <v>6681.96</v>
      </c>
      <c r="K421" s="16">
        <v>1196</v>
      </c>
      <c r="L421" s="11">
        <f t="shared" si="204"/>
        <v>399.6</v>
      </c>
      <c r="M421" s="6"/>
    </row>
    <row r="422" spans="1:13" x14ac:dyDescent="0.25">
      <c r="A422" s="6" t="s">
        <v>952</v>
      </c>
      <c r="B422" s="7">
        <f t="shared" ca="1" si="201"/>
        <v>95</v>
      </c>
      <c r="C422" s="12">
        <v>3</v>
      </c>
      <c r="D422" s="10">
        <v>99.9</v>
      </c>
      <c r="E422" s="10">
        <f t="shared" si="203"/>
        <v>299.70000000000005</v>
      </c>
      <c r="F422" s="7" t="s">
        <v>1184</v>
      </c>
      <c r="G422" s="6" t="s">
        <v>953</v>
      </c>
      <c r="H422" s="7" t="s">
        <v>1188</v>
      </c>
      <c r="I422" s="25" t="s">
        <v>280</v>
      </c>
      <c r="J422" s="9">
        <v>6681.96</v>
      </c>
      <c r="K422" s="16">
        <v>1196</v>
      </c>
      <c r="L422" s="11">
        <f t="shared" si="204"/>
        <v>299.70000000000005</v>
      </c>
      <c r="M422" s="6"/>
    </row>
    <row r="423" spans="1:13" x14ac:dyDescent="0.25">
      <c r="A423" s="6" t="s">
        <v>954</v>
      </c>
      <c r="B423" s="7">
        <f ca="1">$I$1-I423</f>
        <v>107</v>
      </c>
      <c r="C423" s="7"/>
      <c r="D423" s="7"/>
      <c r="E423" s="7"/>
      <c r="F423" s="7" t="s">
        <v>1184</v>
      </c>
      <c r="G423" s="6" t="s">
        <v>955</v>
      </c>
      <c r="H423" s="7" t="s">
        <v>1187</v>
      </c>
      <c r="I423" s="25" t="s">
        <v>93</v>
      </c>
      <c r="J423" s="9">
        <v>4611.96</v>
      </c>
      <c r="K423" s="16">
        <v>1196</v>
      </c>
      <c r="L423" s="6"/>
      <c r="M423" s="11">
        <f>K423</f>
        <v>1196</v>
      </c>
    </row>
    <row r="424" spans="1:13" x14ac:dyDescent="0.25">
      <c r="A424" s="6" t="s">
        <v>956</v>
      </c>
      <c r="B424" s="7">
        <f t="shared" ref="B424:B425" ca="1" si="205">$I$1-I424</f>
        <v>116</v>
      </c>
      <c r="C424" s="12">
        <v>4</v>
      </c>
      <c r="D424" s="10">
        <v>99.9</v>
      </c>
      <c r="E424" s="10">
        <f t="shared" ref="E424:E425" si="206">D424*C424</f>
        <v>399.6</v>
      </c>
      <c r="F424" s="7" t="s">
        <v>1184</v>
      </c>
      <c r="G424" s="6" t="s">
        <v>957</v>
      </c>
      <c r="H424" s="7" t="s">
        <v>1186</v>
      </c>
      <c r="I424" s="25" t="s">
        <v>226</v>
      </c>
      <c r="J424" s="9">
        <v>7581.96</v>
      </c>
      <c r="K424" s="16">
        <v>1196</v>
      </c>
      <c r="L424" s="11">
        <f t="shared" ref="L424:L425" si="207">E424</f>
        <v>399.6</v>
      </c>
      <c r="M424" s="6"/>
    </row>
    <row r="425" spans="1:13" x14ac:dyDescent="0.25">
      <c r="A425" s="6" t="s">
        <v>958</v>
      </c>
      <c r="B425" s="7">
        <f t="shared" ca="1" si="205"/>
        <v>155</v>
      </c>
      <c r="C425" s="12">
        <v>5</v>
      </c>
      <c r="D425" s="10">
        <v>99.9</v>
      </c>
      <c r="E425" s="10">
        <f t="shared" si="206"/>
        <v>499.5</v>
      </c>
      <c r="F425" s="7" t="s">
        <v>1184</v>
      </c>
      <c r="G425" s="6" t="s">
        <v>959</v>
      </c>
      <c r="H425" s="7" t="s">
        <v>1188</v>
      </c>
      <c r="I425" s="25" t="s">
        <v>34</v>
      </c>
      <c r="J425" s="9">
        <v>6681.96</v>
      </c>
      <c r="K425" s="16">
        <v>1196</v>
      </c>
      <c r="L425" s="11">
        <f t="shared" si="207"/>
        <v>499.5</v>
      </c>
      <c r="M425" s="6"/>
    </row>
    <row r="426" spans="1:13" x14ac:dyDescent="0.25">
      <c r="A426" s="6" t="s">
        <v>960</v>
      </c>
      <c r="B426" s="7">
        <f ca="1">$I$1-I426</f>
        <v>115</v>
      </c>
      <c r="C426" s="7"/>
      <c r="D426" s="7"/>
      <c r="E426" s="7"/>
      <c r="F426" s="7" t="s">
        <v>1184</v>
      </c>
      <c r="G426" s="6" t="s">
        <v>961</v>
      </c>
      <c r="H426" s="7" t="s">
        <v>13</v>
      </c>
      <c r="I426" s="25" t="s">
        <v>273</v>
      </c>
      <c r="J426" s="9">
        <v>4188</v>
      </c>
      <c r="K426" s="16">
        <v>1196</v>
      </c>
      <c r="L426" s="6"/>
      <c r="M426" s="11">
        <f>K426</f>
        <v>1196</v>
      </c>
    </row>
    <row r="427" spans="1:13" x14ac:dyDescent="0.25">
      <c r="A427" s="6" t="s">
        <v>962</v>
      </c>
      <c r="B427" s="7">
        <f t="shared" ref="B427:B428" ca="1" si="208">$I$1-I427</f>
        <v>113</v>
      </c>
      <c r="C427" s="12">
        <v>4</v>
      </c>
      <c r="D427" s="10">
        <v>99.9</v>
      </c>
      <c r="E427" s="10">
        <f t="shared" ref="E427:E428" si="209">D427*C427</f>
        <v>399.6</v>
      </c>
      <c r="F427" s="7" t="s">
        <v>1184</v>
      </c>
      <c r="G427" s="6" t="s">
        <v>963</v>
      </c>
      <c r="H427" s="7" t="s">
        <v>1188</v>
      </c>
      <c r="I427" s="25" t="s">
        <v>86</v>
      </c>
      <c r="J427" s="9">
        <v>6681.96</v>
      </c>
      <c r="K427" s="16">
        <v>1196</v>
      </c>
      <c r="L427" s="11">
        <f t="shared" ref="L427:L428" si="210">E427</f>
        <v>399.6</v>
      </c>
      <c r="M427" s="6"/>
    </row>
    <row r="428" spans="1:13" x14ac:dyDescent="0.25">
      <c r="A428" s="6" t="s">
        <v>964</v>
      </c>
      <c r="B428" s="7">
        <f t="shared" ca="1" si="208"/>
        <v>113</v>
      </c>
      <c r="C428" s="12">
        <v>4</v>
      </c>
      <c r="D428" s="10">
        <v>99.9</v>
      </c>
      <c r="E428" s="10">
        <f t="shared" si="209"/>
        <v>399.6</v>
      </c>
      <c r="F428" s="7" t="s">
        <v>1184</v>
      </c>
      <c r="G428" s="6" t="s">
        <v>965</v>
      </c>
      <c r="H428" s="7" t="s">
        <v>1188</v>
      </c>
      <c r="I428" s="25" t="s">
        <v>86</v>
      </c>
      <c r="J428" s="9">
        <v>6681.96</v>
      </c>
      <c r="K428" s="16">
        <v>1196</v>
      </c>
      <c r="L428" s="11">
        <f t="shared" si="210"/>
        <v>399.6</v>
      </c>
      <c r="M428" s="6"/>
    </row>
    <row r="429" spans="1:13" x14ac:dyDescent="0.25">
      <c r="A429" s="6" t="s">
        <v>966</v>
      </c>
      <c r="B429" s="7">
        <f t="shared" ref="B429:B430" ca="1" si="211">$I$1-I429</f>
        <v>115</v>
      </c>
      <c r="C429" s="7"/>
      <c r="D429" s="7"/>
      <c r="E429" s="7"/>
      <c r="F429" s="7" t="s">
        <v>1184</v>
      </c>
      <c r="G429" s="6" t="s">
        <v>967</v>
      </c>
      <c r="H429" s="7" t="s">
        <v>1187</v>
      </c>
      <c r="I429" s="25" t="s">
        <v>273</v>
      </c>
      <c r="J429" s="9">
        <v>4611.96</v>
      </c>
      <c r="K429" s="16">
        <v>1196</v>
      </c>
      <c r="L429" s="6"/>
      <c r="M429" s="11">
        <f t="shared" ref="M429:M433" si="212">K429</f>
        <v>1196</v>
      </c>
    </row>
    <row r="430" spans="1:13" x14ac:dyDescent="0.25">
      <c r="A430" s="6" t="s">
        <v>968</v>
      </c>
      <c r="B430" s="7">
        <f t="shared" ca="1" si="211"/>
        <v>95</v>
      </c>
      <c r="C430" s="7"/>
      <c r="D430" s="7"/>
      <c r="E430" s="7"/>
      <c r="F430" s="7" t="s">
        <v>1184</v>
      </c>
      <c r="G430" s="6" t="s">
        <v>969</v>
      </c>
      <c r="H430" s="7" t="s">
        <v>13</v>
      </c>
      <c r="I430" s="25" t="s">
        <v>280</v>
      </c>
      <c r="J430" s="9">
        <v>4188</v>
      </c>
      <c r="K430" s="16">
        <v>1196</v>
      </c>
      <c r="L430" s="6"/>
      <c r="M430" s="11">
        <f t="shared" si="212"/>
        <v>1196</v>
      </c>
    </row>
    <row r="431" spans="1:13" x14ac:dyDescent="0.25">
      <c r="A431" s="6" t="s">
        <v>970</v>
      </c>
      <c r="B431" s="6"/>
      <c r="C431" s="6"/>
      <c r="D431" s="6"/>
      <c r="E431" s="6"/>
      <c r="F431" s="7" t="s">
        <v>1184</v>
      </c>
      <c r="G431" s="6" t="s">
        <v>971</v>
      </c>
      <c r="H431" s="7" t="s">
        <v>1189</v>
      </c>
      <c r="I431" s="25" t="s">
        <v>411</v>
      </c>
      <c r="J431" s="9">
        <v>6681.96</v>
      </c>
      <c r="K431" s="16">
        <v>1196</v>
      </c>
      <c r="L431" s="6"/>
      <c r="M431" s="11">
        <f t="shared" si="212"/>
        <v>1196</v>
      </c>
    </row>
    <row r="432" spans="1:13" x14ac:dyDescent="0.25">
      <c r="A432" s="6" t="s">
        <v>972</v>
      </c>
      <c r="B432" s="6"/>
      <c r="C432" s="6"/>
      <c r="D432" s="6"/>
      <c r="E432" s="6"/>
      <c r="F432" s="7" t="s">
        <v>1184</v>
      </c>
      <c r="G432" s="6" t="s">
        <v>973</v>
      </c>
      <c r="H432" s="7" t="s">
        <v>1189</v>
      </c>
      <c r="I432" s="25" t="s">
        <v>445</v>
      </c>
      <c r="J432" s="9">
        <v>6681.96</v>
      </c>
      <c r="K432" s="16">
        <v>1196</v>
      </c>
      <c r="L432" s="6"/>
      <c r="M432" s="11">
        <f t="shared" si="212"/>
        <v>1196</v>
      </c>
    </row>
    <row r="433" spans="1:13" x14ac:dyDescent="0.25">
      <c r="A433" s="6" t="s">
        <v>974</v>
      </c>
      <c r="B433" s="6"/>
      <c r="C433" s="6"/>
      <c r="D433" s="6"/>
      <c r="E433" s="6"/>
      <c r="F433" s="7" t="s">
        <v>1184</v>
      </c>
      <c r="G433" s="6" t="s">
        <v>975</v>
      </c>
      <c r="H433" s="7" t="s">
        <v>1189</v>
      </c>
      <c r="I433" s="25" t="s">
        <v>191</v>
      </c>
      <c r="J433" s="9">
        <v>6681.96</v>
      </c>
      <c r="K433" s="16">
        <v>1196</v>
      </c>
      <c r="L433" s="6"/>
      <c r="M433" s="11">
        <f t="shared" si="212"/>
        <v>1196</v>
      </c>
    </row>
    <row r="434" spans="1:13" x14ac:dyDescent="0.25">
      <c r="A434" s="6" t="s">
        <v>976</v>
      </c>
      <c r="B434" s="7">
        <f t="shared" ref="B434:B439" ca="1" si="213">$I$1-I434</f>
        <v>109</v>
      </c>
      <c r="C434" s="7"/>
      <c r="D434" s="7"/>
      <c r="E434" s="7"/>
      <c r="F434" s="7" t="s">
        <v>1184</v>
      </c>
      <c r="G434" s="6" t="s">
        <v>977</v>
      </c>
      <c r="H434" s="7" t="s">
        <v>1187</v>
      </c>
      <c r="I434" s="25" t="s">
        <v>301</v>
      </c>
      <c r="J434" s="9">
        <v>4611.96</v>
      </c>
      <c r="K434" s="16">
        <v>1196</v>
      </c>
      <c r="L434" s="6"/>
      <c r="M434" s="11">
        <f t="shared" ref="M434:M436" si="214">K434</f>
        <v>1196</v>
      </c>
    </row>
    <row r="435" spans="1:13" x14ac:dyDescent="0.25">
      <c r="A435" s="6" t="s">
        <v>978</v>
      </c>
      <c r="B435" s="7">
        <f t="shared" ca="1" si="213"/>
        <v>96</v>
      </c>
      <c r="C435" s="7"/>
      <c r="D435" s="7"/>
      <c r="E435" s="7"/>
      <c r="F435" s="7" t="s">
        <v>1184</v>
      </c>
      <c r="G435" s="6" t="s">
        <v>979</v>
      </c>
      <c r="H435" s="7" t="s">
        <v>1187</v>
      </c>
      <c r="I435" s="25" t="s">
        <v>112</v>
      </c>
      <c r="J435" s="9">
        <v>4611.96</v>
      </c>
      <c r="K435" s="16">
        <v>1196</v>
      </c>
      <c r="L435" s="6"/>
      <c r="M435" s="11">
        <f t="shared" si="214"/>
        <v>1196</v>
      </c>
    </row>
    <row r="436" spans="1:13" x14ac:dyDescent="0.25">
      <c r="A436" s="6" t="s">
        <v>980</v>
      </c>
      <c r="B436" s="7">
        <f t="shared" ca="1" si="213"/>
        <v>131</v>
      </c>
      <c r="C436" s="7"/>
      <c r="D436" s="7"/>
      <c r="E436" s="7"/>
      <c r="F436" s="7" t="s">
        <v>1184</v>
      </c>
      <c r="G436" s="6" t="s">
        <v>981</v>
      </c>
      <c r="H436" s="7" t="s">
        <v>1187</v>
      </c>
      <c r="I436" s="25" t="s">
        <v>6</v>
      </c>
      <c r="J436" s="9">
        <v>4611.96</v>
      </c>
      <c r="K436" s="16">
        <v>1196</v>
      </c>
      <c r="L436" s="6"/>
      <c r="M436" s="11">
        <f t="shared" si="214"/>
        <v>1196</v>
      </c>
    </row>
    <row r="437" spans="1:13" x14ac:dyDescent="0.25">
      <c r="A437" s="6" t="s">
        <v>982</v>
      </c>
      <c r="B437" s="7">
        <f t="shared" ca="1" si="213"/>
        <v>109</v>
      </c>
      <c r="C437" s="12">
        <v>4</v>
      </c>
      <c r="D437" s="10">
        <v>99.9</v>
      </c>
      <c r="E437" s="10">
        <f t="shared" ref="E437:E439" si="215">D437*C437</f>
        <v>399.6</v>
      </c>
      <c r="F437" s="7" t="s">
        <v>1184</v>
      </c>
      <c r="G437" s="6" t="s">
        <v>983</v>
      </c>
      <c r="H437" s="7" t="s">
        <v>1188</v>
      </c>
      <c r="I437" s="25" t="s">
        <v>301</v>
      </c>
      <c r="J437" s="9">
        <v>6681.96</v>
      </c>
      <c r="K437" s="16">
        <v>1196</v>
      </c>
      <c r="L437" s="11">
        <f t="shared" ref="L437:L439" si="216">E437</f>
        <v>399.6</v>
      </c>
      <c r="M437" s="6"/>
    </row>
    <row r="438" spans="1:13" x14ac:dyDescent="0.25">
      <c r="A438" s="6" t="s">
        <v>984</v>
      </c>
      <c r="B438" s="7">
        <f t="shared" ca="1" si="213"/>
        <v>105</v>
      </c>
      <c r="C438" s="12">
        <v>4</v>
      </c>
      <c r="D438" s="10">
        <v>99.9</v>
      </c>
      <c r="E438" s="10">
        <f t="shared" si="215"/>
        <v>399.6</v>
      </c>
      <c r="F438" s="7" t="s">
        <v>1184</v>
      </c>
      <c r="G438" s="6" t="s">
        <v>985</v>
      </c>
      <c r="H438" s="7" t="s">
        <v>1188</v>
      </c>
      <c r="I438" s="25" t="s">
        <v>99</v>
      </c>
      <c r="J438" s="9">
        <v>6681.96</v>
      </c>
      <c r="K438" s="16">
        <v>1196</v>
      </c>
      <c r="L438" s="11">
        <f t="shared" si="216"/>
        <v>399.6</v>
      </c>
      <c r="M438" s="6"/>
    </row>
    <row r="439" spans="1:13" x14ac:dyDescent="0.25">
      <c r="A439" s="6" t="s">
        <v>986</v>
      </c>
      <c r="B439" s="7">
        <f t="shared" ca="1" si="213"/>
        <v>103</v>
      </c>
      <c r="C439" s="12">
        <v>3</v>
      </c>
      <c r="D439" s="10">
        <v>99.9</v>
      </c>
      <c r="E439" s="10">
        <f t="shared" si="215"/>
        <v>299.70000000000005</v>
      </c>
      <c r="F439" s="7" t="s">
        <v>1184</v>
      </c>
      <c r="G439" s="6" t="s">
        <v>987</v>
      </c>
      <c r="H439" s="7" t="s">
        <v>1188</v>
      </c>
      <c r="I439" s="25" t="s">
        <v>101</v>
      </c>
      <c r="J439" s="9">
        <v>6681.96</v>
      </c>
      <c r="K439" s="16">
        <v>1196</v>
      </c>
      <c r="L439" s="11">
        <f t="shared" si="216"/>
        <v>299.70000000000005</v>
      </c>
      <c r="M439" s="6"/>
    </row>
    <row r="440" spans="1:13" x14ac:dyDescent="0.25">
      <c r="A440" s="6" t="s">
        <v>988</v>
      </c>
      <c r="B440" s="6"/>
      <c r="C440" s="6"/>
      <c r="D440" s="6"/>
      <c r="E440" s="6"/>
      <c r="F440" s="7" t="s">
        <v>1184</v>
      </c>
      <c r="G440" s="6" t="s">
        <v>989</v>
      </c>
      <c r="H440" s="7" t="s">
        <v>1189</v>
      </c>
      <c r="I440" s="25" t="s">
        <v>191</v>
      </c>
      <c r="J440" s="9">
        <v>11481.9</v>
      </c>
      <c r="K440" s="16">
        <v>1196</v>
      </c>
      <c r="L440" s="6"/>
      <c r="M440" s="11">
        <f>K440</f>
        <v>1196</v>
      </c>
    </row>
    <row r="441" spans="1:13" x14ac:dyDescent="0.25">
      <c r="A441" s="6" t="s">
        <v>990</v>
      </c>
      <c r="B441" s="7">
        <f ca="1">$I$1-I441</f>
        <v>95</v>
      </c>
      <c r="C441" s="12">
        <v>3</v>
      </c>
      <c r="D441" s="10">
        <v>99.9</v>
      </c>
      <c r="E441" s="10">
        <f>D441*C441</f>
        <v>299.70000000000005</v>
      </c>
      <c r="F441" s="7" t="s">
        <v>1184</v>
      </c>
      <c r="G441" s="6" t="s">
        <v>991</v>
      </c>
      <c r="H441" s="7" t="s">
        <v>1188</v>
      </c>
      <c r="I441" s="25" t="s">
        <v>280</v>
      </c>
      <c r="J441" s="9">
        <v>6681.96</v>
      </c>
      <c r="K441" s="16">
        <v>1196</v>
      </c>
      <c r="L441" s="11">
        <f>E441</f>
        <v>299.70000000000005</v>
      </c>
      <c r="M441" s="6"/>
    </row>
    <row r="442" spans="1:13" x14ac:dyDescent="0.25">
      <c r="A442" s="6" t="s">
        <v>992</v>
      </c>
      <c r="B442" s="6"/>
      <c r="C442" s="6"/>
      <c r="D442" s="6"/>
      <c r="E442" s="6"/>
      <c r="F442" s="7" t="s">
        <v>1184</v>
      </c>
      <c r="G442" s="6" t="s">
        <v>993</v>
      </c>
      <c r="H442" s="7" t="s">
        <v>1189</v>
      </c>
      <c r="I442" s="25" t="s">
        <v>190</v>
      </c>
      <c r="J442" s="9">
        <v>6681.96</v>
      </c>
      <c r="K442" s="16">
        <v>1196</v>
      </c>
      <c r="L442" s="6"/>
      <c r="M442" s="11">
        <f>K442</f>
        <v>1196</v>
      </c>
    </row>
    <row r="443" spans="1:13" x14ac:dyDescent="0.25">
      <c r="A443" s="6" t="s">
        <v>994</v>
      </c>
      <c r="B443" s="7">
        <f t="shared" ref="B443:B444" ca="1" si="217">$I$1-I443</f>
        <v>88</v>
      </c>
      <c r="C443" s="7"/>
      <c r="D443" s="7"/>
      <c r="E443" s="7"/>
      <c r="F443" s="7" t="s">
        <v>1184</v>
      </c>
      <c r="G443" s="6" t="s">
        <v>995</v>
      </c>
      <c r="H443" s="7" t="s">
        <v>1187</v>
      </c>
      <c r="I443" s="25" t="s">
        <v>416</v>
      </c>
      <c r="J443" s="9">
        <v>4611.96</v>
      </c>
      <c r="K443" s="16">
        <v>1196</v>
      </c>
      <c r="L443" s="6"/>
      <c r="M443" s="11">
        <f t="shared" ref="M443:M444" si="218">K443</f>
        <v>1196</v>
      </c>
    </row>
    <row r="444" spans="1:13" x14ac:dyDescent="0.25">
      <c r="A444" s="6" t="s">
        <v>996</v>
      </c>
      <c r="B444" s="7">
        <f t="shared" ca="1" si="217"/>
        <v>85</v>
      </c>
      <c r="C444" s="7"/>
      <c r="D444" s="7"/>
      <c r="E444" s="7"/>
      <c r="F444" s="7" t="s">
        <v>1184</v>
      </c>
      <c r="G444" s="6" t="s">
        <v>997</v>
      </c>
      <c r="H444" s="7" t="s">
        <v>1187</v>
      </c>
      <c r="I444" s="25" t="s">
        <v>24</v>
      </c>
      <c r="J444" s="9">
        <v>4842.54</v>
      </c>
      <c r="K444" s="16">
        <v>1196</v>
      </c>
      <c r="L444" s="6"/>
      <c r="M444" s="11">
        <f t="shared" si="218"/>
        <v>1196</v>
      </c>
    </row>
    <row r="445" spans="1:13" x14ac:dyDescent="0.25">
      <c r="A445" s="6" t="s">
        <v>998</v>
      </c>
      <c r="B445" s="6"/>
      <c r="C445" s="6"/>
      <c r="D445" s="6"/>
      <c r="E445" s="6"/>
      <c r="F445" s="7" t="s">
        <v>1184</v>
      </c>
      <c r="G445" s="6" t="s">
        <v>999</v>
      </c>
      <c r="H445" s="7" t="s">
        <v>1189</v>
      </c>
      <c r="I445" s="25" t="s">
        <v>125</v>
      </c>
      <c r="J445" s="9">
        <v>6681.96</v>
      </c>
      <c r="K445" s="16">
        <v>1196</v>
      </c>
      <c r="L445" s="6"/>
      <c r="M445" s="11">
        <f>K445</f>
        <v>1196</v>
      </c>
    </row>
    <row r="446" spans="1:13" x14ac:dyDescent="0.25">
      <c r="A446" s="6" t="s">
        <v>1000</v>
      </c>
      <c r="B446" s="7">
        <f t="shared" ref="B446:B451" ca="1" si="219">$I$1-I446</f>
        <v>130</v>
      </c>
      <c r="C446" s="12">
        <v>4</v>
      </c>
      <c r="D446" s="10">
        <v>99.9</v>
      </c>
      <c r="E446" s="10">
        <f t="shared" ref="E446:E451" si="220">D446*C446</f>
        <v>399.6</v>
      </c>
      <c r="F446" s="7" t="s">
        <v>1184</v>
      </c>
      <c r="G446" s="6" t="s">
        <v>1001</v>
      </c>
      <c r="H446" s="7" t="s">
        <v>1188</v>
      </c>
      <c r="I446" s="25" t="s">
        <v>319</v>
      </c>
      <c r="J446" s="9">
        <v>6681.96</v>
      </c>
      <c r="K446" s="16">
        <v>1196</v>
      </c>
      <c r="L446" s="11">
        <f t="shared" ref="L446:L451" si="221">E446</f>
        <v>399.6</v>
      </c>
      <c r="M446" s="6"/>
    </row>
    <row r="447" spans="1:13" x14ac:dyDescent="0.25">
      <c r="A447" s="6" t="s">
        <v>1002</v>
      </c>
      <c r="B447" s="7">
        <f t="shared" ca="1" si="219"/>
        <v>130</v>
      </c>
      <c r="C447" s="12">
        <v>4</v>
      </c>
      <c r="D447" s="10">
        <v>99.9</v>
      </c>
      <c r="E447" s="10">
        <f t="shared" si="220"/>
        <v>399.6</v>
      </c>
      <c r="F447" s="7" t="s">
        <v>1184</v>
      </c>
      <c r="G447" s="6" t="s">
        <v>1003</v>
      </c>
      <c r="H447" s="7" t="s">
        <v>1188</v>
      </c>
      <c r="I447" s="25" t="s">
        <v>319</v>
      </c>
      <c r="J447" s="9">
        <v>6681.96</v>
      </c>
      <c r="K447" s="16">
        <v>1196</v>
      </c>
      <c r="L447" s="11">
        <f t="shared" si="221"/>
        <v>399.6</v>
      </c>
      <c r="M447" s="6"/>
    </row>
    <row r="448" spans="1:13" x14ac:dyDescent="0.25">
      <c r="A448" s="6" t="s">
        <v>1004</v>
      </c>
      <c r="B448" s="7">
        <f t="shared" ca="1" si="219"/>
        <v>129</v>
      </c>
      <c r="C448" s="12">
        <v>4</v>
      </c>
      <c r="D448" s="10">
        <v>99.9</v>
      </c>
      <c r="E448" s="10">
        <f t="shared" si="220"/>
        <v>399.6</v>
      </c>
      <c r="F448" s="7" t="s">
        <v>1184</v>
      </c>
      <c r="G448" s="6" t="s">
        <v>1005</v>
      </c>
      <c r="H448" s="7" t="s">
        <v>1186</v>
      </c>
      <c r="I448" s="25" t="s">
        <v>293</v>
      </c>
      <c r="J448" s="9">
        <v>7581.96</v>
      </c>
      <c r="K448" s="16">
        <v>1196</v>
      </c>
      <c r="L448" s="11">
        <f t="shared" si="221"/>
        <v>399.6</v>
      </c>
      <c r="M448" s="6"/>
    </row>
    <row r="449" spans="1:13" x14ac:dyDescent="0.25">
      <c r="A449" s="6" t="s">
        <v>1006</v>
      </c>
      <c r="B449" s="7">
        <f t="shared" ca="1" si="219"/>
        <v>130</v>
      </c>
      <c r="C449" s="12">
        <v>4</v>
      </c>
      <c r="D449" s="10">
        <v>99.9</v>
      </c>
      <c r="E449" s="10">
        <f t="shared" si="220"/>
        <v>399.6</v>
      </c>
      <c r="F449" s="7" t="s">
        <v>1184</v>
      </c>
      <c r="G449" s="6" t="s">
        <v>1007</v>
      </c>
      <c r="H449" s="7" t="s">
        <v>1188</v>
      </c>
      <c r="I449" s="25" t="s">
        <v>319</v>
      </c>
      <c r="J449" s="9">
        <v>6681.96</v>
      </c>
      <c r="K449" s="16">
        <v>1196</v>
      </c>
      <c r="L449" s="11">
        <f t="shared" si="221"/>
        <v>399.6</v>
      </c>
      <c r="M449" s="6"/>
    </row>
    <row r="450" spans="1:13" x14ac:dyDescent="0.25">
      <c r="A450" s="6" t="s">
        <v>1008</v>
      </c>
      <c r="B450" s="7">
        <f t="shared" ca="1" si="219"/>
        <v>129</v>
      </c>
      <c r="C450" s="12">
        <v>4</v>
      </c>
      <c r="D450" s="10">
        <v>99.9</v>
      </c>
      <c r="E450" s="10">
        <f t="shared" si="220"/>
        <v>399.6</v>
      </c>
      <c r="F450" s="7" t="s">
        <v>1184</v>
      </c>
      <c r="G450" s="6" t="s">
        <v>1009</v>
      </c>
      <c r="H450" s="7" t="s">
        <v>1188</v>
      </c>
      <c r="I450" s="25" t="s">
        <v>293</v>
      </c>
      <c r="J450" s="9">
        <v>6681.96</v>
      </c>
      <c r="K450" s="16">
        <v>1196</v>
      </c>
      <c r="L450" s="11">
        <f t="shared" si="221"/>
        <v>399.6</v>
      </c>
      <c r="M450" s="6"/>
    </row>
    <row r="451" spans="1:13" x14ac:dyDescent="0.25">
      <c r="A451" s="6" t="s">
        <v>1010</v>
      </c>
      <c r="B451" s="7">
        <f t="shared" ca="1" si="219"/>
        <v>129</v>
      </c>
      <c r="C451" s="12">
        <v>4</v>
      </c>
      <c r="D451" s="10">
        <v>99.9</v>
      </c>
      <c r="E451" s="10">
        <f t="shared" si="220"/>
        <v>399.6</v>
      </c>
      <c r="F451" s="7" t="s">
        <v>1184</v>
      </c>
      <c r="G451" s="6" t="s">
        <v>1011</v>
      </c>
      <c r="H451" s="7" t="s">
        <v>1186</v>
      </c>
      <c r="I451" s="25" t="s">
        <v>293</v>
      </c>
      <c r="J451" s="9">
        <v>7581.96</v>
      </c>
      <c r="K451" s="16">
        <v>1196</v>
      </c>
      <c r="L451" s="11">
        <f t="shared" si="221"/>
        <v>399.6</v>
      </c>
      <c r="M451" s="6"/>
    </row>
    <row r="452" spans="1:13" x14ac:dyDescent="0.25">
      <c r="A452" s="6" t="s">
        <v>1012</v>
      </c>
      <c r="B452" s="7">
        <f t="shared" ref="B452:B454" ca="1" si="222">$I$1-I452</f>
        <v>111</v>
      </c>
      <c r="C452" s="7"/>
      <c r="D452" s="7"/>
      <c r="E452" s="7"/>
      <c r="F452" s="7" t="s">
        <v>1184</v>
      </c>
      <c r="G452" s="6" t="s">
        <v>1013</v>
      </c>
      <c r="H452" s="7" t="s">
        <v>13</v>
      </c>
      <c r="I452" s="25" t="s">
        <v>91</v>
      </c>
      <c r="J452" s="9">
        <v>4188</v>
      </c>
      <c r="K452" s="16">
        <v>1196</v>
      </c>
      <c r="L452" s="6"/>
      <c r="M452" s="11">
        <f t="shared" ref="M452:M454" si="223">K452</f>
        <v>1196</v>
      </c>
    </row>
    <row r="453" spans="1:13" x14ac:dyDescent="0.25">
      <c r="A453" s="6" t="s">
        <v>1014</v>
      </c>
      <c r="B453" s="7">
        <f t="shared" ca="1" si="222"/>
        <v>129</v>
      </c>
      <c r="C453" s="7"/>
      <c r="D453" s="7"/>
      <c r="E453" s="7"/>
      <c r="F453" s="7" t="s">
        <v>1184</v>
      </c>
      <c r="G453" s="6" t="s">
        <v>1015</v>
      </c>
      <c r="H453" s="7" t="s">
        <v>1187</v>
      </c>
      <c r="I453" s="25" t="s">
        <v>293</v>
      </c>
      <c r="J453" s="9">
        <v>4611.96</v>
      </c>
      <c r="K453" s="16">
        <v>1196</v>
      </c>
      <c r="L453" s="6"/>
      <c r="M453" s="11">
        <f t="shared" si="223"/>
        <v>1196</v>
      </c>
    </row>
    <row r="454" spans="1:13" x14ac:dyDescent="0.25">
      <c r="A454" s="6" t="s">
        <v>1016</v>
      </c>
      <c r="B454" s="7">
        <f t="shared" ca="1" si="222"/>
        <v>117</v>
      </c>
      <c r="C454" s="7"/>
      <c r="D454" s="7"/>
      <c r="E454" s="7"/>
      <c r="F454" s="7" t="s">
        <v>1184</v>
      </c>
      <c r="G454" s="6" t="s">
        <v>1017</v>
      </c>
      <c r="H454" s="7" t="s">
        <v>1187</v>
      </c>
      <c r="I454" s="25" t="s">
        <v>15</v>
      </c>
      <c r="J454" s="9">
        <v>4611.96</v>
      </c>
      <c r="K454" s="16">
        <v>1196</v>
      </c>
      <c r="L454" s="6"/>
      <c r="M454" s="11">
        <f t="shared" si="223"/>
        <v>1196</v>
      </c>
    </row>
    <row r="455" spans="1:13" x14ac:dyDescent="0.25">
      <c r="A455" s="6" t="s">
        <v>1018</v>
      </c>
      <c r="B455" s="7">
        <f ca="1">$I$1-I455</f>
        <v>127</v>
      </c>
      <c r="C455" s="12">
        <v>4</v>
      </c>
      <c r="D455" s="10">
        <v>99.9</v>
      </c>
      <c r="E455" s="10">
        <f>D455*C455</f>
        <v>399.6</v>
      </c>
      <c r="F455" s="7" t="s">
        <v>1184</v>
      </c>
      <c r="G455" s="6" t="s">
        <v>1019</v>
      </c>
      <c r="H455" s="7" t="s">
        <v>1188</v>
      </c>
      <c r="I455" s="25" t="s">
        <v>71</v>
      </c>
      <c r="J455" s="9">
        <v>6681.96</v>
      </c>
      <c r="K455" s="16">
        <v>1196</v>
      </c>
      <c r="L455" s="11">
        <f>E455</f>
        <v>399.6</v>
      </c>
      <c r="M455" s="6"/>
    </row>
    <row r="456" spans="1:13" x14ac:dyDescent="0.25">
      <c r="A456" s="6" t="s">
        <v>1020</v>
      </c>
      <c r="B456" s="6"/>
      <c r="C456" s="6"/>
      <c r="D456" s="6"/>
      <c r="E456" s="6"/>
      <c r="F456" s="7" t="s">
        <v>1184</v>
      </c>
      <c r="G456" s="6" t="s">
        <v>1021</v>
      </c>
      <c r="H456" s="7" t="s">
        <v>1189</v>
      </c>
      <c r="I456" s="25" t="s">
        <v>260</v>
      </c>
      <c r="J456" s="9">
        <v>4188</v>
      </c>
      <c r="K456" s="16">
        <v>1196</v>
      </c>
      <c r="L456" s="6"/>
      <c r="M456" s="11">
        <f>K456</f>
        <v>1196</v>
      </c>
    </row>
    <row r="457" spans="1:13" x14ac:dyDescent="0.25">
      <c r="A457" s="6" t="s">
        <v>1022</v>
      </c>
      <c r="B457" s="7">
        <f t="shared" ref="B457:B462" ca="1" si="224">$I$1-I457</f>
        <v>116</v>
      </c>
      <c r="C457" s="12">
        <v>4</v>
      </c>
      <c r="D457" s="10">
        <v>99.9</v>
      </c>
      <c r="E457" s="10">
        <f t="shared" ref="E457:E462" si="225">D457*C457</f>
        <v>399.6</v>
      </c>
      <c r="F457" s="7" t="s">
        <v>1184</v>
      </c>
      <c r="G457" s="6" t="s">
        <v>1023</v>
      </c>
      <c r="H457" s="7" t="s">
        <v>1188</v>
      </c>
      <c r="I457" s="25" t="s">
        <v>226</v>
      </c>
      <c r="J457" s="9">
        <v>6681.96</v>
      </c>
      <c r="K457" s="16">
        <v>1196</v>
      </c>
      <c r="L457" s="11">
        <f t="shared" ref="L457:L462" si="226">E457</f>
        <v>399.6</v>
      </c>
      <c r="M457" s="6"/>
    </row>
    <row r="458" spans="1:13" x14ac:dyDescent="0.25">
      <c r="A458" s="6" t="s">
        <v>1024</v>
      </c>
      <c r="B458" s="7">
        <f t="shared" ca="1" si="224"/>
        <v>140</v>
      </c>
      <c r="C458" s="12">
        <v>5</v>
      </c>
      <c r="D458" s="10">
        <v>99.9</v>
      </c>
      <c r="E458" s="10">
        <f t="shared" si="225"/>
        <v>499.5</v>
      </c>
      <c r="F458" s="7" t="s">
        <v>1184</v>
      </c>
      <c r="G458" s="6" t="s">
        <v>1025</v>
      </c>
      <c r="H458" s="7" t="s">
        <v>1188</v>
      </c>
      <c r="I458" s="25" t="s">
        <v>57</v>
      </c>
      <c r="J458" s="9">
        <v>6000</v>
      </c>
      <c r="K458" s="16">
        <v>1196</v>
      </c>
      <c r="L458" s="11">
        <f t="shared" si="226"/>
        <v>499.5</v>
      </c>
      <c r="M458" s="6"/>
    </row>
    <row r="459" spans="1:13" x14ac:dyDescent="0.25">
      <c r="A459" s="6" t="s">
        <v>1026</v>
      </c>
      <c r="B459" s="7">
        <f t="shared" ca="1" si="224"/>
        <v>124</v>
      </c>
      <c r="C459" s="12">
        <v>4</v>
      </c>
      <c r="D459" s="10">
        <v>99.9</v>
      </c>
      <c r="E459" s="10">
        <f t="shared" si="225"/>
        <v>399.6</v>
      </c>
      <c r="F459" s="7" t="s">
        <v>1184</v>
      </c>
      <c r="G459" s="6" t="s">
        <v>1027</v>
      </c>
      <c r="H459" s="7" t="s">
        <v>1188</v>
      </c>
      <c r="I459" s="25" t="s">
        <v>78</v>
      </c>
      <c r="J459" s="9">
        <v>9082.02</v>
      </c>
      <c r="K459" s="16">
        <v>1196</v>
      </c>
      <c r="L459" s="11">
        <f t="shared" si="226"/>
        <v>399.6</v>
      </c>
      <c r="M459" s="6"/>
    </row>
    <row r="460" spans="1:13" x14ac:dyDescent="0.25">
      <c r="A460" s="6" t="s">
        <v>1028</v>
      </c>
      <c r="B460" s="7">
        <f t="shared" ca="1" si="224"/>
        <v>94</v>
      </c>
      <c r="C460" s="12">
        <v>3</v>
      </c>
      <c r="D460" s="10">
        <v>99.9</v>
      </c>
      <c r="E460" s="10">
        <f t="shared" si="225"/>
        <v>299.70000000000005</v>
      </c>
      <c r="F460" s="7" t="s">
        <v>1184</v>
      </c>
      <c r="G460" s="6" t="s">
        <v>1029</v>
      </c>
      <c r="H460" s="7" t="s">
        <v>1188</v>
      </c>
      <c r="I460" s="25" t="s">
        <v>830</v>
      </c>
      <c r="J460" s="9">
        <v>6681.96</v>
      </c>
      <c r="K460" s="16">
        <v>1196</v>
      </c>
      <c r="L460" s="11">
        <f t="shared" si="226"/>
        <v>299.70000000000005</v>
      </c>
      <c r="M460" s="6"/>
    </row>
    <row r="461" spans="1:13" x14ac:dyDescent="0.25">
      <c r="A461" s="6" t="s">
        <v>1030</v>
      </c>
      <c r="B461" s="7">
        <f t="shared" ca="1" si="224"/>
        <v>100</v>
      </c>
      <c r="C461" s="12">
        <v>3</v>
      </c>
      <c r="D461" s="10">
        <v>99.9</v>
      </c>
      <c r="E461" s="10">
        <f t="shared" si="225"/>
        <v>299.70000000000005</v>
      </c>
      <c r="F461" s="7" t="s">
        <v>1184</v>
      </c>
      <c r="G461" s="6" t="s">
        <v>1031</v>
      </c>
      <c r="H461" s="7" t="s">
        <v>1186</v>
      </c>
      <c r="I461" s="25" t="s">
        <v>107</v>
      </c>
      <c r="J461" s="9">
        <v>7581.96</v>
      </c>
      <c r="K461" s="16">
        <v>1196</v>
      </c>
      <c r="L461" s="11">
        <f t="shared" si="226"/>
        <v>299.70000000000005</v>
      </c>
      <c r="M461" s="6"/>
    </row>
    <row r="462" spans="1:13" x14ac:dyDescent="0.25">
      <c r="A462" s="6" t="s">
        <v>1032</v>
      </c>
      <c r="B462" s="7">
        <f t="shared" ca="1" si="224"/>
        <v>107</v>
      </c>
      <c r="C462" s="12">
        <v>4</v>
      </c>
      <c r="D462" s="10">
        <v>99.9</v>
      </c>
      <c r="E462" s="10">
        <f t="shared" si="225"/>
        <v>399.6</v>
      </c>
      <c r="F462" s="7" t="s">
        <v>1184</v>
      </c>
      <c r="G462" s="6" t="s">
        <v>1033</v>
      </c>
      <c r="H462" s="7" t="s">
        <v>1186</v>
      </c>
      <c r="I462" s="25" t="s">
        <v>93</v>
      </c>
      <c r="J462" s="9">
        <v>7581.96</v>
      </c>
      <c r="K462" s="16">
        <v>1196</v>
      </c>
      <c r="L462" s="11">
        <f t="shared" si="226"/>
        <v>399.6</v>
      </c>
      <c r="M462" s="6"/>
    </row>
    <row r="463" spans="1:13" x14ac:dyDescent="0.25">
      <c r="A463" s="6" t="s">
        <v>1034</v>
      </c>
      <c r="B463" s="7">
        <f ca="1">$I$1-I463</f>
        <v>119</v>
      </c>
      <c r="C463" s="7"/>
      <c r="D463" s="7"/>
      <c r="E463" s="7"/>
      <c r="F463" s="7" t="s">
        <v>1184</v>
      </c>
      <c r="G463" s="6" t="s">
        <v>1035</v>
      </c>
      <c r="H463" s="7" t="s">
        <v>13</v>
      </c>
      <c r="I463" s="25" t="s">
        <v>235</v>
      </c>
      <c r="J463" s="9">
        <v>4188</v>
      </c>
      <c r="K463" s="16">
        <v>1196</v>
      </c>
      <c r="L463" s="6"/>
      <c r="M463" s="11">
        <f>K463</f>
        <v>1196</v>
      </c>
    </row>
    <row r="464" spans="1:13" x14ac:dyDescent="0.25">
      <c r="A464" s="6" t="s">
        <v>1036</v>
      </c>
      <c r="B464" s="7">
        <f t="shared" ref="B464:B473" ca="1" si="227">$I$1-I464</f>
        <v>128</v>
      </c>
      <c r="C464" s="12">
        <v>4</v>
      </c>
      <c r="D464" s="10">
        <v>99.9</v>
      </c>
      <c r="E464" s="10">
        <f t="shared" ref="E464:E473" si="228">D464*C464</f>
        <v>399.6</v>
      </c>
      <c r="F464" s="7" t="s">
        <v>1184</v>
      </c>
      <c r="G464" s="6" t="s">
        <v>1037</v>
      </c>
      <c r="H464" s="7" t="s">
        <v>1186</v>
      </c>
      <c r="I464" s="25" t="s">
        <v>48</v>
      </c>
      <c r="J464" s="9">
        <v>7581.96</v>
      </c>
      <c r="K464" s="16">
        <v>1196</v>
      </c>
      <c r="L464" s="11">
        <f t="shared" ref="L464:L473" si="229">E464</f>
        <v>399.6</v>
      </c>
      <c r="M464" s="6"/>
    </row>
    <row r="465" spans="1:13" x14ac:dyDescent="0.25">
      <c r="A465" s="6" t="s">
        <v>1038</v>
      </c>
      <c r="B465" s="7">
        <f t="shared" ca="1" si="227"/>
        <v>114</v>
      </c>
      <c r="C465" s="12">
        <v>4</v>
      </c>
      <c r="D465" s="10">
        <v>99.9</v>
      </c>
      <c r="E465" s="10">
        <f t="shared" si="228"/>
        <v>399.6</v>
      </c>
      <c r="F465" s="7" t="s">
        <v>1184</v>
      </c>
      <c r="G465" s="6" t="s">
        <v>1039</v>
      </c>
      <c r="H465" s="7" t="s">
        <v>1186</v>
      </c>
      <c r="I465" s="25" t="s">
        <v>10</v>
      </c>
      <c r="J465" s="9">
        <v>7581.96</v>
      </c>
      <c r="K465" s="16">
        <v>1196</v>
      </c>
      <c r="L465" s="11">
        <f t="shared" si="229"/>
        <v>399.6</v>
      </c>
      <c r="M465" s="6"/>
    </row>
    <row r="466" spans="1:13" x14ac:dyDescent="0.25">
      <c r="A466" s="6" t="s">
        <v>1040</v>
      </c>
      <c r="B466" s="7">
        <f t="shared" ca="1" si="227"/>
        <v>115</v>
      </c>
      <c r="C466" s="12">
        <v>4</v>
      </c>
      <c r="D466" s="10">
        <v>99.9</v>
      </c>
      <c r="E466" s="10">
        <f t="shared" si="228"/>
        <v>399.6</v>
      </c>
      <c r="F466" s="7" t="s">
        <v>1184</v>
      </c>
      <c r="G466" s="6" t="s">
        <v>1041</v>
      </c>
      <c r="H466" s="7" t="s">
        <v>1188</v>
      </c>
      <c r="I466" s="25" t="s">
        <v>273</v>
      </c>
      <c r="J466" s="9">
        <v>6681.96</v>
      </c>
      <c r="K466" s="16">
        <v>1196</v>
      </c>
      <c r="L466" s="11">
        <f t="shared" si="229"/>
        <v>399.6</v>
      </c>
      <c r="M466" s="6"/>
    </row>
    <row r="467" spans="1:13" x14ac:dyDescent="0.25">
      <c r="A467" s="6" t="s">
        <v>1042</v>
      </c>
      <c r="B467" s="7">
        <f t="shared" ca="1" si="227"/>
        <v>108</v>
      </c>
      <c r="C467" s="12">
        <v>4</v>
      </c>
      <c r="D467" s="10">
        <v>99.9</v>
      </c>
      <c r="E467" s="10">
        <f t="shared" si="228"/>
        <v>399.6</v>
      </c>
      <c r="F467" s="7" t="s">
        <v>1184</v>
      </c>
      <c r="G467" s="6" t="s">
        <v>1043</v>
      </c>
      <c r="H467" s="7" t="s">
        <v>1188</v>
      </c>
      <c r="I467" s="25" t="s">
        <v>298</v>
      </c>
      <c r="J467" s="9">
        <v>6681.96</v>
      </c>
      <c r="K467" s="16">
        <v>1196</v>
      </c>
      <c r="L467" s="11">
        <f t="shared" si="229"/>
        <v>399.6</v>
      </c>
      <c r="M467" s="6"/>
    </row>
    <row r="468" spans="1:13" x14ac:dyDescent="0.25">
      <c r="A468" s="6" t="s">
        <v>1044</v>
      </c>
      <c r="B468" s="7">
        <f t="shared" ca="1" si="227"/>
        <v>121</v>
      </c>
      <c r="C468" s="12">
        <v>4</v>
      </c>
      <c r="D468" s="10">
        <v>99.9</v>
      </c>
      <c r="E468" s="10">
        <f t="shared" si="228"/>
        <v>399.6</v>
      </c>
      <c r="F468" s="7" t="s">
        <v>1184</v>
      </c>
      <c r="G468" s="6" t="s">
        <v>1045</v>
      </c>
      <c r="H468" s="7" t="s">
        <v>1188</v>
      </c>
      <c r="I468" s="25" t="s">
        <v>80</v>
      </c>
      <c r="J468" s="9">
        <v>6681.96</v>
      </c>
      <c r="K468" s="16">
        <v>1196</v>
      </c>
      <c r="L468" s="11">
        <f t="shared" si="229"/>
        <v>399.6</v>
      </c>
      <c r="M468" s="6"/>
    </row>
    <row r="469" spans="1:13" x14ac:dyDescent="0.25">
      <c r="A469" s="6" t="s">
        <v>1046</v>
      </c>
      <c r="B469" s="7">
        <f t="shared" ca="1" si="227"/>
        <v>121</v>
      </c>
      <c r="C469" s="12">
        <v>4</v>
      </c>
      <c r="D469" s="10">
        <v>99.9</v>
      </c>
      <c r="E469" s="10">
        <f t="shared" si="228"/>
        <v>399.6</v>
      </c>
      <c r="F469" s="7" t="s">
        <v>1184</v>
      </c>
      <c r="G469" s="6" t="s">
        <v>1047</v>
      </c>
      <c r="H469" s="7" t="s">
        <v>1186</v>
      </c>
      <c r="I469" s="25" t="s">
        <v>80</v>
      </c>
      <c r="J469" s="9">
        <v>9982.02</v>
      </c>
      <c r="K469" s="16">
        <v>1196</v>
      </c>
      <c r="L469" s="11">
        <f t="shared" si="229"/>
        <v>399.6</v>
      </c>
      <c r="M469" s="6"/>
    </row>
    <row r="470" spans="1:13" x14ac:dyDescent="0.25">
      <c r="A470" s="6" t="s">
        <v>1048</v>
      </c>
      <c r="B470" s="7">
        <f t="shared" ca="1" si="227"/>
        <v>106</v>
      </c>
      <c r="C470" s="12">
        <v>4</v>
      </c>
      <c r="D470" s="10">
        <v>99.9</v>
      </c>
      <c r="E470" s="10">
        <f t="shared" si="228"/>
        <v>399.6</v>
      </c>
      <c r="F470" s="7" t="s">
        <v>1184</v>
      </c>
      <c r="G470" s="6" t="s">
        <v>1049</v>
      </c>
      <c r="H470" s="7" t="s">
        <v>1188</v>
      </c>
      <c r="I470" s="25" t="s">
        <v>96</v>
      </c>
      <c r="J470" s="9">
        <v>6681.96</v>
      </c>
      <c r="K470" s="16">
        <v>1196</v>
      </c>
      <c r="L470" s="11">
        <f t="shared" si="229"/>
        <v>399.6</v>
      </c>
      <c r="M470" s="6"/>
    </row>
    <row r="471" spans="1:13" x14ac:dyDescent="0.25">
      <c r="A471" s="6" t="s">
        <v>1050</v>
      </c>
      <c r="B471" s="7">
        <f t="shared" ca="1" si="227"/>
        <v>113</v>
      </c>
      <c r="C471" s="12">
        <v>4</v>
      </c>
      <c r="D471" s="10">
        <v>99.9</v>
      </c>
      <c r="E471" s="10">
        <f t="shared" si="228"/>
        <v>399.6</v>
      </c>
      <c r="F471" s="7" t="s">
        <v>1184</v>
      </c>
      <c r="G471" s="6" t="s">
        <v>1051</v>
      </c>
      <c r="H471" s="7" t="s">
        <v>1186</v>
      </c>
      <c r="I471" s="25" t="s">
        <v>86</v>
      </c>
      <c r="J471" s="9">
        <v>7581.96</v>
      </c>
      <c r="K471" s="16">
        <v>1196</v>
      </c>
      <c r="L471" s="11">
        <f t="shared" si="229"/>
        <v>399.6</v>
      </c>
      <c r="M471" s="6"/>
    </row>
    <row r="472" spans="1:13" x14ac:dyDescent="0.25">
      <c r="A472" s="6" t="s">
        <v>1052</v>
      </c>
      <c r="B472" s="7">
        <f t="shared" ca="1" si="227"/>
        <v>121</v>
      </c>
      <c r="C472" s="12">
        <v>4</v>
      </c>
      <c r="D472" s="10">
        <v>99.9</v>
      </c>
      <c r="E472" s="10">
        <f t="shared" si="228"/>
        <v>399.6</v>
      </c>
      <c r="F472" s="7" t="s">
        <v>1184</v>
      </c>
      <c r="G472" s="6" t="s">
        <v>1053</v>
      </c>
      <c r="H472" s="7" t="s">
        <v>1186</v>
      </c>
      <c r="I472" s="25" t="s">
        <v>80</v>
      </c>
      <c r="J472" s="9">
        <v>7581.96</v>
      </c>
      <c r="K472" s="16">
        <v>1196</v>
      </c>
      <c r="L472" s="11">
        <f t="shared" si="229"/>
        <v>399.6</v>
      </c>
      <c r="M472" s="6"/>
    </row>
    <row r="473" spans="1:13" x14ac:dyDescent="0.25">
      <c r="A473" s="6" t="s">
        <v>1054</v>
      </c>
      <c r="B473" s="7">
        <f t="shared" ca="1" si="227"/>
        <v>110</v>
      </c>
      <c r="C473" s="12">
        <v>4</v>
      </c>
      <c r="D473" s="10">
        <v>99.9</v>
      </c>
      <c r="E473" s="10">
        <f t="shared" si="228"/>
        <v>399.6</v>
      </c>
      <c r="F473" s="7" t="s">
        <v>1184</v>
      </c>
      <c r="G473" s="6" t="s">
        <v>1055</v>
      </c>
      <c r="H473" s="7" t="s">
        <v>1188</v>
      </c>
      <c r="I473" s="25" t="s">
        <v>12</v>
      </c>
      <c r="J473" s="9">
        <v>6681.96</v>
      </c>
      <c r="K473" s="16">
        <v>1196</v>
      </c>
      <c r="L473" s="11">
        <f t="shared" si="229"/>
        <v>399.6</v>
      </c>
      <c r="M473" s="6"/>
    </row>
    <row r="474" spans="1:13" x14ac:dyDescent="0.25">
      <c r="A474" s="6" t="s">
        <v>1056</v>
      </c>
      <c r="B474" s="7">
        <f ca="1">$I$1-I474</f>
        <v>105</v>
      </c>
      <c r="C474" s="7"/>
      <c r="D474" s="7"/>
      <c r="E474" s="7"/>
      <c r="F474" s="7" t="s">
        <v>1184</v>
      </c>
      <c r="G474" s="6" t="s">
        <v>1057</v>
      </c>
      <c r="H474" s="7" t="s">
        <v>1187</v>
      </c>
      <c r="I474" s="25" t="s">
        <v>99</v>
      </c>
      <c r="J474" s="9">
        <v>4842.54</v>
      </c>
      <c r="K474" s="16">
        <v>1196</v>
      </c>
      <c r="L474" s="6"/>
      <c r="M474" s="11">
        <f>K474</f>
        <v>1196</v>
      </c>
    </row>
    <row r="475" spans="1:13" x14ac:dyDescent="0.25">
      <c r="A475" s="6" t="s">
        <v>1058</v>
      </c>
      <c r="B475" s="7">
        <f ca="1">$I$1-I475</f>
        <v>139</v>
      </c>
      <c r="C475" s="12">
        <v>5</v>
      </c>
      <c r="D475" s="10">
        <v>99.9</v>
      </c>
      <c r="E475" s="10">
        <f>D475*C475</f>
        <v>499.5</v>
      </c>
      <c r="F475" s="7" t="s">
        <v>1184</v>
      </c>
      <c r="G475" s="6" t="s">
        <v>1059</v>
      </c>
      <c r="H475" s="7" t="s">
        <v>1186</v>
      </c>
      <c r="I475" s="25" t="s">
        <v>61</v>
      </c>
      <c r="J475" s="9">
        <v>7581.96</v>
      </c>
      <c r="K475" s="16">
        <v>1196</v>
      </c>
      <c r="L475" s="11">
        <f>E475</f>
        <v>499.5</v>
      </c>
      <c r="M475" s="6"/>
    </row>
    <row r="476" spans="1:13" x14ac:dyDescent="0.25">
      <c r="A476" s="6" t="s">
        <v>1060</v>
      </c>
      <c r="B476" s="7">
        <f t="shared" ref="B476:B479" ca="1" si="230">$I$1-I476</f>
        <v>110</v>
      </c>
      <c r="C476" s="7"/>
      <c r="D476" s="7"/>
      <c r="E476" s="7"/>
      <c r="F476" s="7" t="s">
        <v>1184</v>
      </c>
      <c r="G476" s="6" t="s">
        <v>1061</v>
      </c>
      <c r="H476" s="7" t="s">
        <v>1187</v>
      </c>
      <c r="I476" s="25" t="s">
        <v>12</v>
      </c>
      <c r="J476" s="9">
        <v>4842.54</v>
      </c>
      <c r="K476" s="16">
        <v>1196</v>
      </c>
      <c r="L476" s="6"/>
      <c r="M476" s="11">
        <f t="shared" ref="M476:M479" si="231">K476</f>
        <v>1196</v>
      </c>
    </row>
    <row r="477" spans="1:13" x14ac:dyDescent="0.25">
      <c r="A477" s="6" t="s">
        <v>1062</v>
      </c>
      <c r="B477" s="7">
        <f t="shared" ca="1" si="230"/>
        <v>108</v>
      </c>
      <c r="C477" s="7"/>
      <c r="D477" s="7"/>
      <c r="E477" s="7"/>
      <c r="F477" s="7" t="s">
        <v>1184</v>
      </c>
      <c r="G477" s="6" t="s">
        <v>1063</v>
      </c>
      <c r="H477" s="7" t="s">
        <v>1187</v>
      </c>
      <c r="I477" s="25" t="s">
        <v>298</v>
      </c>
      <c r="J477" s="9">
        <v>5811.96</v>
      </c>
      <c r="K477" s="16">
        <v>1196</v>
      </c>
      <c r="L477" s="6"/>
      <c r="M477" s="11">
        <f t="shared" si="231"/>
        <v>1196</v>
      </c>
    </row>
    <row r="478" spans="1:13" x14ac:dyDescent="0.25">
      <c r="A478" s="6" t="s">
        <v>1064</v>
      </c>
      <c r="B478" s="7">
        <f t="shared" ca="1" si="230"/>
        <v>103</v>
      </c>
      <c r="C478" s="7"/>
      <c r="D478" s="7"/>
      <c r="E478" s="7"/>
      <c r="F478" s="7" t="s">
        <v>1184</v>
      </c>
      <c r="G478" s="6" t="s">
        <v>1065</v>
      </c>
      <c r="H478" s="7" t="s">
        <v>1187</v>
      </c>
      <c r="I478" s="25" t="s">
        <v>101</v>
      </c>
      <c r="J478" s="9">
        <v>4611.96</v>
      </c>
      <c r="K478" s="16">
        <v>1196</v>
      </c>
      <c r="L478" s="6"/>
      <c r="M478" s="11">
        <f t="shared" si="231"/>
        <v>1196</v>
      </c>
    </row>
    <row r="479" spans="1:13" x14ac:dyDescent="0.25">
      <c r="A479" s="6" t="s">
        <v>1066</v>
      </c>
      <c r="B479" s="7">
        <f t="shared" ca="1" si="230"/>
        <v>102</v>
      </c>
      <c r="C479" s="7"/>
      <c r="D479" s="7"/>
      <c r="E479" s="7"/>
      <c r="F479" s="7" t="s">
        <v>1184</v>
      </c>
      <c r="G479" s="6" t="s">
        <v>1067</v>
      </c>
      <c r="H479" s="7" t="s">
        <v>1187</v>
      </c>
      <c r="I479" s="25" t="s">
        <v>191</v>
      </c>
      <c r="J479" s="9">
        <v>4611.96</v>
      </c>
      <c r="K479" s="16">
        <v>1196</v>
      </c>
      <c r="L479" s="6"/>
      <c r="M479" s="11">
        <f t="shared" si="231"/>
        <v>1196</v>
      </c>
    </row>
    <row r="480" spans="1:13" x14ac:dyDescent="0.25">
      <c r="A480" s="6" t="s">
        <v>1068</v>
      </c>
      <c r="B480" s="7">
        <f ca="1">$I$1-I480</f>
        <v>100</v>
      </c>
      <c r="C480" s="12">
        <v>3</v>
      </c>
      <c r="D480" s="10">
        <v>99.9</v>
      </c>
      <c r="E480" s="10">
        <f>D480*C480</f>
        <v>299.70000000000005</v>
      </c>
      <c r="F480" s="7" t="s">
        <v>1184</v>
      </c>
      <c r="G480" s="6" t="s">
        <v>1069</v>
      </c>
      <c r="H480" s="7" t="s">
        <v>1186</v>
      </c>
      <c r="I480" s="25" t="s">
        <v>107</v>
      </c>
      <c r="J480" s="9">
        <v>7581.96</v>
      </c>
      <c r="K480" s="16">
        <v>1196</v>
      </c>
      <c r="L480" s="11">
        <f>E480</f>
        <v>299.70000000000005</v>
      </c>
      <c r="M480" s="6"/>
    </row>
    <row r="481" spans="1:13" x14ac:dyDescent="0.25">
      <c r="A481" s="6" t="s">
        <v>1070</v>
      </c>
      <c r="B481" s="7">
        <f t="shared" ref="B481:B482" ca="1" si="232">$I$1-I481</f>
        <v>101</v>
      </c>
      <c r="C481" s="7"/>
      <c r="D481" s="7"/>
      <c r="E481" s="7"/>
      <c r="F481" s="7" t="s">
        <v>1184</v>
      </c>
      <c r="G481" s="6" t="s">
        <v>1071</v>
      </c>
      <c r="H481" s="7" t="s">
        <v>1187</v>
      </c>
      <c r="I481" s="25" t="s">
        <v>445</v>
      </c>
      <c r="J481" s="9">
        <v>4611.96</v>
      </c>
      <c r="K481" s="16">
        <v>1196</v>
      </c>
      <c r="L481" s="6"/>
      <c r="M481" s="11">
        <f t="shared" ref="M481:M482" si="233">K481</f>
        <v>1196</v>
      </c>
    </row>
    <row r="482" spans="1:13" x14ac:dyDescent="0.25">
      <c r="A482" s="6" t="s">
        <v>1072</v>
      </c>
      <c r="B482" s="7">
        <f t="shared" ca="1" si="232"/>
        <v>87</v>
      </c>
      <c r="C482" s="7"/>
      <c r="D482" s="7"/>
      <c r="E482" s="7"/>
      <c r="F482" s="7" t="s">
        <v>1184</v>
      </c>
      <c r="G482" s="6" t="s">
        <v>1073</v>
      </c>
      <c r="H482" s="7" t="s">
        <v>13</v>
      </c>
      <c r="I482" s="25" t="s">
        <v>187</v>
      </c>
      <c r="J482" s="9">
        <v>4188</v>
      </c>
      <c r="K482" s="16">
        <v>1196</v>
      </c>
      <c r="L482" s="6"/>
      <c r="M482" s="11">
        <f t="shared" si="233"/>
        <v>1196</v>
      </c>
    </row>
    <row r="483" spans="1:13" x14ac:dyDescent="0.25">
      <c r="A483" s="6" t="s">
        <v>1074</v>
      </c>
      <c r="B483" s="6"/>
      <c r="C483" s="6"/>
      <c r="D483" s="6"/>
      <c r="E483" s="6"/>
      <c r="F483" s="7" t="s">
        <v>1184</v>
      </c>
      <c r="G483" s="6" t="s">
        <v>1075</v>
      </c>
      <c r="H483" s="7" t="s">
        <v>1189</v>
      </c>
      <c r="I483" s="25" t="s">
        <v>24</v>
      </c>
      <c r="J483" s="9">
        <v>4188</v>
      </c>
      <c r="K483" s="16">
        <v>1196</v>
      </c>
      <c r="L483" s="6"/>
      <c r="M483" s="11">
        <f>K483</f>
        <v>1196</v>
      </c>
    </row>
    <row r="484" spans="1:13" x14ac:dyDescent="0.25">
      <c r="A484" s="6" t="s">
        <v>1076</v>
      </c>
      <c r="B484" s="7">
        <f t="shared" ref="B484:B486" ca="1" si="234">$I$1-I484</f>
        <v>88</v>
      </c>
      <c r="C484" s="7"/>
      <c r="D484" s="7"/>
      <c r="E484" s="7"/>
      <c r="F484" s="7" t="s">
        <v>1184</v>
      </c>
      <c r="G484" s="6" t="s">
        <v>1077</v>
      </c>
      <c r="H484" s="7" t="s">
        <v>13</v>
      </c>
      <c r="I484" s="25" t="s">
        <v>416</v>
      </c>
      <c r="J484" s="9">
        <v>4188</v>
      </c>
      <c r="K484" s="16">
        <v>1196</v>
      </c>
      <c r="L484" s="6"/>
      <c r="M484" s="11">
        <f t="shared" ref="M484:M486" si="235">K484</f>
        <v>1196</v>
      </c>
    </row>
    <row r="485" spans="1:13" x14ac:dyDescent="0.25">
      <c r="A485" s="6" t="s">
        <v>1078</v>
      </c>
      <c r="B485" s="7">
        <f t="shared" ca="1" si="234"/>
        <v>102</v>
      </c>
      <c r="C485" s="7"/>
      <c r="D485" s="7"/>
      <c r="E485" s="7"/>
      <c r="F485" s="7" t="s">
        <v>1184</v>
      </c>
      <c r="G485" s="6" t="s">
        <v>1079</v>
      </c>
      <c r="H485" s="7" t="s">
        <v>1187</v>
      </c>
      <c r="I485" s="25" t="s">
        <v>191</v>
      </c>
      <c r="J485" s="9">
        <v>4842.54</v>
      </c>
      <c r="K485" s="16">
        <v>1196</v>
      </c>
      <c r="L485" s="6"/>
      <c r="M485" s="11">
        <f t="shared" si="235"/>
        <v>1196</v>
      </c>
    </row>
    <row r="486" spans="1:13" x14ac:dyDescent="0.25">
      <c r="A486" s="6" t="s">
        <v>1080</v>
      </c>
      <c r="B486" s="7">
        <f t="shared" ca="1" si="234"/>
        <v>122</v>
      </c>
      <c r="C486" s="7"/>
      <c r="D486" s="7"/>
      <c r="E486" s="7"/>
      <c r="F486" s="7" t="s">
        <v>1184</v>
      </c>
      <c r="G486" s="6" t="s">
        <v>1081</v>
      </c>
      <c r="H486" s="7" t="s">
        <v>1187</v>
      </c>
      <c r="I486" s="25" t="s">
        <v>260</v>
      </c>
      <c r="J486" s="9">
        <v>5811.96</v>
      </c>
      <c r="K486" s="16">
        <v>1196</v>
      </c>
      <c r="L486" s="6"/>
      <c r="M486" s="11">
        <f t="shared" si="235"/>
        <v>1196</v>
      </c>
    </row>
    <row r="487" spans="1:13" x14ac:dyDescent="0.25">
      <c r="A487" s="6" t="s">
        <v>1082</v>
      </c>
      <c r="B487" s="7">
        <f ca="1">$I$1-I487</f>
        <v>122</v>
      </c>
      <c r="C487" s="12">
        <v>4</v>
      </c>
      <c r="D487" s="10">
        <v>99.9</v>
      </c>
      <c r="E487" s="10">
        <f>D487*C487</f>
        <v>399.6</v>
      </c>
      <c r="F487" s="7" t="s">
        <v>1184</v>
      </c>
      <c r="G487" s="6" t="s">
        <v>1083</v>
      </c>
      <c r="H487" s="7" t="s">
        <v>1188</v>
      </c>
      <c r="I487" s="25" t="s">
        <v>260</v>
      </c>
      <c r="J487" s="9">
        <v>6681.96</v>
      </c>
      <c r="K487" s="16">
        <v>1196</v>
      </c>
      <c r="L487" s="11">
        <f>E487</f>
        <v>399.6</v>
      </c>
      <c r="M487" s="6"/>
    </row>
    <row r="488" spans="1:13" x14ac:dyDescent="0.25">
      <c r="A488" s="6" t="s">
        <v>1084</v>
      </c>
      <c r="B488" s="7">
        <f ca="1">$I$1-I488</f>
        <v>95</v>
      </c>
      <c r="C488" s="7"/>
      <c r="D488" s="7"/>
      <c r="E488" s="7"/>
      <c r="F488" s="7" t="s">
        <v>1184</v>
      </c>
      <c r="G488" s="6" t="s">
        <v>1085</v>
      </c>
      <c r="H488" s="7" t="s">
        <v>1187</v>
      </c>
      <c r="I488" s="25" t="s">
        <v>280</v>
      </c>
      <c r="J488" s="9">
        <v>4612.0200000000004</v>
      </c>
      <c r="K488" s="16">
        <v>1196</v>
      </c>
      <c r="L488" s="6"/>
      <c r="M488" s="11">
        <f>K488</f>
        <v>1196</v>
      </c>
    </row>
    <row r="489" spans="1:13" x14ac:dyDescent="0.25">
      <c r="A489" s="6" t="s">
        <v>1086</v>
      </c>
      <c r="B489" s="7">
        <f ca="1">$I$1-I489</f>
        <v>91</v>
      </c>
      <c r="C489" s="12">
        <v>3</v>
      </c>
      <c r="D489" s="10">
        <v>99.9</v>
      </c>
      <c r="E489" s="10">
        <f>D489*C489</f>
        <v>299.70000000000005</v>
      </c>
      <c r="F489" s="7" t="s">
        <v>1184</v>
      </c>
      <c r="G489" s="6" t="s">
        <v>1087</v>
      </c>
      <c r="H489" s="7" t="s">
        <v>1188</v>
      </c>
      <c r="I489" s="25" t="s">
        <v>125</v>
      </c>
      <c r="J489" s="9">
        <v>6681.96</v>
      </c>
      <c r="K489" s="16">
        <v>1196</v>
      </c>
      <c r="L489" s="11">
        <f>E489</f>
        <v>299.70000000000005</v>
      </c>
      <c r="M489" s="6"/>
    </row>
    <row r="490" spans="1:13" x14ac:dyDescent="0.25">
      <c r="A490" s="6" t="s">
        <v>1088</v>
      </c>
      <c r="B490" s="6"/>
      <c r="C490" s="6"/>
      <c r="D490" s="6"/>
      <c r="E490" s="6"/>
      <c r="F490" s="7" t="s">
        <v>1184</v>
      </c>
      <c r="G490" s="6" t="s">
        <v>1089</v>
      </c>
      <c r="H490" s="7" t="s">
        <v>1189</v>
      </c>
      <c r="I490" s="25" t="s">
        <v>445</v>
      </c>
      <c r="J490" s="9">
        <v>4187.9799999999996</v>
      </c>
      <c r="K490" s="16">
        <v>1196</v>
      </c>
      <c r="L490" s="6"/>
      <c r="M490" s="11">
        <f>K490</f>
        <v>1196</v>
      </c>
    </row>
    <row r="491" spans="1:13" x14ac:dyDescent="0.25">
      <c r="A491" s="6" t="s">
        <v>1090</v>
      </c>
      <c r="B491" s="7">
        <f t="shared" ref="B491:B492" ca="1" si="236">$I$1-I491</f>
        <v>106</v>
      </c>
      <c r="C491" s="7"/>
      <c r="D491" s="7"/>
      <c r="E491" s="7"/>
      <c r="F491" s="7" t="s">
        <v>1184</v>
      </c>
      <c r="G491" s="6" t="s">
        <v>1091</v>
      </c>
      <c r="H491" s="7" t="s">
        <v>13</v>
      </c>
      <c r="I491" s="25" t="s">
        <v>96</v>
      </c>
      <c r="J491" s="9">
        <v>4188</v>
      </c>
      <c r="K491" s="16">
        <v>1196</v>
      </c>
      <c r="L491" s="6"/>
      <c r="M491" s="11">
        <f t="shared" ref="M491:M492" si="237">K491</f>
        <v>1196</v>
      </c>
    </row>
    <row r="492" spans="1:13" x14ac:dyDescent="0.25">
      <c r="A492" s="6" t="s">
        <v>1092</v>
      </c>
      <c r="B492" s="7">
        <f t="shared" ca="1" si="236"/>
        <v>96</v>
      </c>
      <c r="C492" s="7"/>
      <c r="D492" s="7"/>
      <c r="E492" s="7"/>
      <c r="F492" s="7" t="s">
        <v>1184</v>
      </c>
      <c r="G492" s="6" t="s">
        <v>1093</v>
      </c>
      <c r="H492" s="7" t="s">
        <v>13</v>
      </c>
      <c r="I492" s="25" t="s">
        <v>112</v>
      </c>
      <c r="J492" s="9">
        <v>4188</v>
      </c>
      <c r="K492" s="16">
        <v>1196</v>
      </c>
      <c r="L492" s="6"/>
      <c r="M492" s="11">
        <f t="shared" si="237"/>
        <v>1196</v>
      </c>
    </row>
    <row r="493" spans="1:13" x14ac:dyDescent="0.25">
      <c r="A493" s="6" t="s">
        <v>1094</v>
      </c>
      <c r="B493" s="6"/>
      <c r="C493" s="6"/>
      <c r="D493" s="6"/>
      <c r="E493" s="6"/>
      <c r="F493" s="7" t="s">
        <v>1184</v>
      </c>
      <c r="G493" s="6" t="s">
        <v>1095</v>
      </c>
      <c r="H493" s="7" t="s">
        <v>1189</v>
      </c>
      <c r="I493" s="25" t="s">
        <v>6</v>
      </c>
      <c r="J493" s="9">
        <v>7581.74</v>
      </c>
      <c r="K493" s="16">
        <v>1196</v>
      </c>
      <c r="L493" s="6"/>
      <c r="M493" s="11">
        <f>K493</f>
        <v>1196</v>
      </c>
    </row>
    <row r="494" spans="1:13" x14ac:dyDescent="0.25">
      <c r="A494" s="6" t="s">
        <v>1096</v>
      </c>
      <c r="B494" s="7">
        <f t="shared" ref="B494:B496" ca="1" si="238">$I$1-I494</f>
        <v>102</v>
      </c>
      <c r="C494" s="12">
        <v>3</v>
      </c>
      <c r="D494" s="10">
        <v>99.9</v>
      </c>
      <c r="E494" s="10">
        <f t="shared" ref="E494:E496" si="239">D494*C494</f>
        <v>299.70000000000005</v>
      </c>
      <c r="F494" s="7" t="s">
        <v>1184</v>
      </c>
      <c r="G494" s="6" t="s">
        <v>1097</v>
      </c>
      <c r="H494" s="7" t="s">
        <v>1186</v>
      </c>
      <c r="I494" s="25" t="s">
        <v>191</v>
      </c>
      <c r="J494" s="9">
        <v>7581.96</v>
      </c>
      <c r="K494" s="16">
        <v>1196</v>
      </c>
      <c r="L494" s="11">
        <f t="shared" ref="L494:L496" si="240">E494</f>
        <v>299.70000000000005</v>
      </c>
      <c r="M494" s="6"/>
    </row>
    <row r="495" spans="1:13" x14ac:dyDescent="0.25">
      <c r="A495" s="6" t="s">
        <v>1098</v>
      </c>
      <c r="B495" s="7">
        <f t="shared" ca="1" si="238"/>
        <v>103</v>
      </c>
      <c r="C495" s="12">
        <v>3</v>
      </c>
      <c r="D495" s="10">
        <v>99.9</v>
      </c>
      <c r="E495" s="10">
        <f t="shared" si="239"/>
        <v>299.70000000000005</v>
      </c>
      <c r="F495" s="7" t="s">
        <v>1184</v>
      </c>
      <c r="G495" s="6" t="s">
        <v>1099</v>
      </c>
      <c r="H495" s="7" t="s">
        <v>1188</v>
      </c>
      <c r="I495" s="25" t="s">
        <v>101</v>
      </c>
      <c r="J495" s="9">
        <v>6681.96</v>
      </c>
      <c r="K495" s="16">
        <v>1196</v>
      </c>
      <c r="L495" s="11">
        <f t="shared" si="240"/>
        <v>299.70000000000005</v>
      </c>
      <c r="M495" s="6"/>
    </row>
    <row r="496" spans="1:13" x14ac:dyDescent="0.25">
      <c r="A496" s="6" t="s">
        <v>1100</v>
      </c>
      <c r="B496" s="7">
        <f t="shared" ca="1" si="238"/>
        <v>103</v>
      </c>
      <c r="C496" s="12">
        <v>3</v>
      </c>
      <c r="D496" s="10">
        <v>99.9</v>
      </c>
      <c r="E496" s="10">
        <f t="shared" si="239"/>
        <v>299.70000000000005</v>
      </c>
      <c r="F496" s="7" t="s">
        <v>1184</v>
      </c>
      <c r="G496" s="6" t="s">
        <v>1101</v>
      </c>
      <c r="H496" s="7" t="s">
        <v>1188</v>
      </c>
      <c r="I496" s="25" t="s">
        <v>101</v>
      </c>
      <c r="J496" s="9">
        <v>6681.96</v>
      </c>
      <c r="K496" s="16">
        <v>1196</v>
      </c>
      <c r="L496" s="11">
        <f t="shared" si="240"/>
        <v>299.70000000000005</v>
      </c>
      <c r="M496" s="6"/>
    </row>
    <row r="497" spans="1:13" x14ac:dyDescent="0.25">
      <c r="A497" s="6" t="s">
        <v>1102</v>
      </c>
      <c r="B497" s="7">
        <f t="shared" ref="B497:B498" ca="1" si="241">$I$1-I497</f>
        <v>103</v>
      </c>
      <c r="C497" s="7"/>
      <c r="D497" s="7"/>
      <c r="E497" s="7"/>
      <c r="F497" s="7" t="s">
        <v>1184</v>
      </c>
      <c r="G497" s="6" t="s">
        <v>1103</v>
      </c>
      <c r="H497" s="7" t="s">
        <v>1187</v>
      </c>
      <c r="I497" s="25" t="s">
        <v>101</v>
      </c>
      <c r="J497" s="9">
        <v>4611.96</v>
      </c>
      <c r="K497" s="16">
        <v>1196</v>
      </c>
      <c r="L497" s="6"/>
      <c r="M497" s="11">
        <f t="shared" ref="M497:M498" si="242">K497</f>
        <v>1196</v>
      </c>
    </row>
    <row r="498" spans="1:13" x14ac:dyDescent="0.25">
      <c r="A498" s="6" t="s">
        <v>1104</v>
      </c>
      <c r="B498" s="7">
        <f t="shared" ca="1" si="241"/>
        <v>96</v>
      </c>
      <c r="C498" s="7"/>
      <c r="D498" s="7"/>
      <c r="E498" s="7"/>
      <c r="F498" s="7" t="s">
        <v>1184</v>
      </c>
      <c r="G498" s="6" t="s">
        <v>1105</v>
      </c>
      <c r="H498" s="7" t="s">
        <v>1187</v>
      </c>
      <c r="I498" s="25" t="s">
        <v>112</v>
      </c>
      <c r="J498" s="9">
        <v>4611.96</v>
      </c>
      <c r="K498" s="16">
        <v>1196</v>
      </c>
      <c r="L498" s="6"/>
      <c r="M498" s="11">
        <f t="shared" si="242"/>
        <v>1196</v>
      </c>
    </row>
    <row r="499" spans="1:13" x14ac:dyDescent="0.25">
      <c r="A499" s="6" t="s">
        <v>1106</v>
      </c>
      <c r="B499" s="6"/>
      <c r="C499" s="6"/>
      <c r="D499" s="6"/>
      <c r="E499" s="6"/>
      <c r="F499" s="7" t="s">
        <v>1184</v>
      </c>
      <c r="G499" s="6" t="s">
        <v>1107</v>
      </c>
      <c r="H499" s="7" t="s">
        <v>1189</v>
      </c>
      <c r="I499" s="25" t="s">
        <v>445</v>
      </c>
      <c r="J499" s="9">
        <v>7581.74</v>
      </c>
      <c r="K499" s="16">
        <v>1196</v>
      </c>
      <c r="L499" s="6"/>
      <c r="M499" s="11">
        <f>K499</f>
        <v>1196</v>
      </c>
    </row>
    <row r="500" spans="1:13" x14ac:dyDescent="0.25">
      <c r="A500" s="6" t="s">
        <v>1108</v>
      </c>
      <c r="B500" s="7">
        <f t="shared" ref="B500:B507" ca="1" si="243">$I$1-I500</f>
        <v>101</v>
      </c>
      <c r="C500" s="7"/>
      <c r="D500" s="7"/>
      <c r="E500" s="7"/>
      <c r="F500" s="7" t="s">
        <v>1184</v>
      </c>
      <c r="G500" s="6" t="s">
        <v>1109</v>
      </c>
      <c r="H500" s="7" t="s">
        <v>13</v>
      </c>
      <c r="I500" s="25" t="s">
        <v>445</v>
      </c>
      <c r="J500" s="9">
        <v>4188</v>
      </c>
      <c r="K500" s="16">
        <v>1196</v>
      </c>
      <c r="L500" s="6"/>
      <c r="M500" s="11">
        <f t="shared" ref="M500:M505" si="244">K500</f>
        <v>1196</v>
      </c>
    </row>
    <row r="501" spans="1:13" x14ac:dyDescent="0.25">
      <c r="A501" s="6" t="s">
        <v>1110</v>
      </c>
      <c r="B501" s="7">
        <f t="shared" ca="1" si="243"/>
        <v>96</v>
      </c>
      <c r="C501" s="7"/>
      <c r="D501" s="7"/>
      <c r="E501" s="7"/>
      <c r="F501" s="7" t="s">
        <v>1184</v>
      </c>
      <c r="G501" s="6" t="s">
        <v>1111</v>
      </c>
      <c r="H501" s="7" t="s">
        <v>13</v>
      </c>
      <c r="I501" s="25" t="s">
        <v>112</v>
      </c>
      <c r="J501" s="9">
        <v>4188</v>
      </c>
      <c r="K501" s="16">
        <v>1196</v>
      </c>
      <c r="L501" s="6"/>
      <c r="M501" s="11">
        <f t="shared" si="244"/>
        <v>1196</v>
      </c>
    </row>
    <row r="502" spans="1:13" x14ac:dyDescent="0.25">
      <c r="A502" s="6" t="s">
        <v>1112</v>
      </c>
      <c r="B502" s="7">
        <f t="shared" ca="1" si="243"/>
        <v>96</v>
      </c>
      <c r="C502" s="7"/>
      <c r="D502" s="7"/>
      <c r="E502" s="7"/>
      <c r="F502" s="7" t="s">
        <v>1184</v>
      </c>
      <c r="G502" s="6" t="s">
        <v>1113</v>
      </c>
      <c r="H502" s="7" t="s">
        <v>13</v>
      </c>
      <c r="I502" s="25" t="s">
        <v>112</v>
      </c>
      <c r="J502" s="9">
        <v>5388</v>
      </c>
      <c r="K502" s="16">
        <v>1196</v>
      </c>
      <c r="L502" s="6"/>
      <c r="M502" s="11">
        <f t="shared" si="244"/>
        <v>1196</v>
      </c>
    </row>
    <row r="503" spans="1:13" x14ac:dyDescent="0.25">
      <c r="A503" s="6" t="s">
        <v>1114</v>
      </c>
      <c r="B503" s="7">
        <f t="shared" ca="1" si="243"/>
        <v>96</v>
      </c>
      <c r="C503" s="7"/>
      <c r="D503" s="7"/>
      <c r="E503" s="7"/>
      <c r="F503" s="7" t="s">
        <v>1184</v>
      </c>
      <c r="G503" s="6" t="s">
        <v>1115</v>
      </c>
      <c r="H503" s="7" t="s">
        <v>1187</v>
      </c>
      <c r="I503" s="25" t="s">
        <v>112</v>
      </c>
      <c r="J503" s="9">
        <v>4611.96</v>
      </c>
      <c r="K503" s="16">
        <v>1196</v>
      </c>
      <c r="L503" s="6"/>
      <c r="M503" s="11">
        <f t="shared" si="244"/>
        <v>1196</v>
      </c>
    </row>
    <row r="504" spans="1:13" x14ac:dyDescent="0.25">
      <c r="A504" s="6" t="s">
        <v>1116</v>
      </c>
      <c r="B504" s="7">
        <f t="shared" ca="1" si="243"/>
        <v>117</v>
      </c>
      <c r="C504" s="7"/>
      <c r="D504" s="7"/>
      <c r="E504" s="7"/>
      <c r="F504" s="7" t="s">
        <v>1184</v>
      </c>
      <c r="G504" s="6" t="s">
        <v>1117</v>
      </c>
      <c r="H504" s="7" t="s">
        <v>1187</v>
      </c>
      <c r="I504" s="25" t="s">
        <v>15</v>
      </c>
      <c r="J504" s="9">
        <v>4611.96</v>
      </c>
      <c r="K504" s="16">
        <v>1196</v>
      </c>
      <c r="L504" s="6"/>
      <c r="M504" s="11">
        <f t="shared" si="244"/>
        <v>1196</v>
      </c>
    </row>
    <row r="505" spans="1:13" x14ac:dyDescent="0.25">
      <c r="A505" s="6" t="s">
        <v>1118</v>
      </c>
      <c r="B505" s="7">
        <f t="shared" ca="1" si="243"/>
        <v>116</v>
      </c>
      <c r="C505" s="7"/>
      <c r="D505" s="7"/>
      <c r="E505" s="7"/>
      <c r="F505" s="7" t="s">
        <v>1184</v>
      </c>
      <c r="G505" s="6" t="s">
        <v>1119</v>
      </c>
      <c r="H505" s="7" t="s">
        <v>1187</v>
      </c>
      <c r="I505" s="25" t="s">
        <v>226</v>
      </c>
      <c r="J505" s="9">
        <v>4611.96</v>
      </c>
      <c r="K505" s="16">
        <v>1196</v>
      </c>
      <c r="L505" s="6"/>
      <c r="M505" s="11">
        <f t="shared" si="244"/>
        <v>1196</v>
      </c>
    </row>
    <row r="506" spans="1:13" x14ac:dyDescent="0.25">
      <c r="A506" s="6" t="s">
        <v>1120</v>
      </c>
      <c r="B506" s="7">
        <f t="shared" ca="1" si="243"/>
        <v>113</v>
      </c>
      <c r="C506" s="12">
        <v>4</v>
      </c>
      <c r="D506" s="10">
        <v>99.9</v>
      </c>
      <c r="E506" s="10">
        <f t="shared" ref="E506:E507" si="245">D506*C506</f>
        <v>399.6</v>
      </c>
      <c r="F506" s="7" t="s">
        <v>1184</v>
      </c>
      <c r="G506" s="6" t="s">
        <v>1121</v>
      </c>
      <c r="H506" s="7" t="s">
        <v>1188</v>
      </c>
      <c r="I506" s="25" t="s">
        <v>86</v>
      </c>
      <c r="J506" s="9">
        <v>6681.96</v>
      </c>
      <c r="K506" s="16">
        <v>1196</v>
      </c>
      <c r="L506" s="11">
        <f t="shared" ref="L506:L507" si="246">E506</f>
        <v>399.6</v>
      </c>
      <c r="M506" s="6"/>
    </row>
    <row r="507" spans="1:13" x14ac:dyDescent="0.25">
      <c r="A507" s="6" t="s">
        <v>1122</v>
      </c>
      <c r="B507" s="7">
        <f t="shared" ca="1" si="243"/>
        <v>100</v>
      </c>
      <c r="C507" s="12">
        <v>3</v>
      </c>
      <c r="D507" s="10">
        <v>99.9</v>
      </c>
      <c r="E507" s="10">
        <f t="shared" si="245"/>
        <v>299.70000000000005</v>
      </c>
      <c r="F507" s="7" t="s">
        <v>1184</v>
      </c>
      <c r="G507" s="6" t="s">
        <v>1123</v>
      </c>
      <c r="H507" s="7" t="s">
        <v>1186</v>
      </c>
      <c r="I507" s="25" t="s">
        <v>107</v>
      </c>
      <c r="J507" s="9">
        <v>7581.96</v>
      </c>
      <c r="K507" s="16">
        <v>1196</v>
      </c>
      <c r="L507" s="11">
        <f t="shared" si="246"/>
        <v>299.70000000000005</v>
      </c>
      <c r="M507" s="6"/>
    </row>
    <row r="508" spans="1:13" x14ac:dyDescent="0.25">
      <c r="A508" s="6" t="s">
        <v>1124</v>
      </c>
      <c r="B508" s="7">
        <f ca="1">$I$1-I508</f>
        <v>94</v>
      </c>
      <c r="C508" s="7"/>
      <c r="D508" s="7"/>
      <c r="E508" s="7"/>
      <c r="F508" s="7" t="s">
        <v>1184</v>
      </c>
      <c r="G508" s="6" t="s">
        <v>1125</v>
      </c>
      <c r="H508" s="7" t="s">
        <v>1187</v>
      </c>
      <c r="I508" s="25" t="s">
        <v>830</v>
      </c>
      <c r="J508" s="9">
        <v>4611.96</v>
      </c>
      <c r="K508" s="16">
        <v>1196</v>
      </c>
      <c r="L508" s="6"/>
      <c r="M508" s="11">
        <f>K508</f>
        <v>1196</v>
      </c>
    </row>
    <row r="509" spans="1:13" x14ac:dyDescent="0.25">
      <c r="A509" s="6" t="s">
        <v>1126</v>
      </c>
      <c r="B509" s="7">
        <f t="shared" ref="B509:B510" ca="1" si="247">$I$1-I509</f>
        <v>88</v>
      </c>
      <c r="C509" s="12">
        <v>3</v>
      </c>
      <c r="D509" s="10">
        <v>99.9</v>
      </c>
      <c r="E509" s="10">
        <f t="shared" ref="E509:E510" si="248">D509*C509</f>
        <v>299.70000000000005</v>
      </c>
      <c r="F509" s="7" t="s">
        <v>1184</v>
      </c>
      <c r="G509" s="6" t="s">
        <v>1127</v>
      </c>
      <c r="H509" s="7" t="s">
        <v>1188</v>
      </c>
      <c r="I509" s="25" t="s">
        <v>416</v>
      </c>
      <c r="J509" s="9">
        <v>6681.96</v>
      </c>
      <c r="K509" s="16">
        <v>1196</v>
      </c>
      <c r="L509" s="11">
        <f t="shared" ref="L509:L510" si="249">E509</f>
        <v>299.70000000000005</v>
      </c>
      <c r="M509" s="6"/>
    </row>
    <row r="510" spans="1:13" x14ac:dyDescent="0.25">
      <c r="A510" s="6" t="s">
        <v>1128</v>
      </c>
      <c r="B510" s="7">
        <f t="shared" ca="1" si="247"/>
        <v>98</v>
      </c>
      <c r="C510" s="12">
        <v>3</v>
      </c>
      <c r="D510" s="10">
        <v>99.9</v>
      </c>
      <c r="E510" s="10">
        <f t="shared" si="248"/>
        <v>299.70000000000005</v>
      </c>
      <c r="F510" s="7" t="s">
        <v>1184</v>
      </c>
      <c r="G510" s="6" t="s">
        <v>1129</v>
      </c>
      <c r="H510" s="7" t="s">
        <v>1188</v>
      </c>
      <c r="I510" s="25">
        <v>46022</v>
      </c>
      <c r="J510" s="9">
        <v>6310.74</v>
      </c>
      <c r="K510" s="16">
        <v>1196</v>
      </c>
      <c r="L510" s="11">
        <f t="shared" si="249"/>
        <v>299.70000000000005</v>
      </c>
      <c r="M510" s="6"/>
    </row>
    <row r="511" spans="1:13" x14ac:dyDescent="0.25">
      <c r="A511" s="6" t="s">
        <v>1130</v>
      </c>
      <c r="B511" s="6"/>
      <c r="C511" s="6"/>
      <c r="D511" s="6"/>
      <c r="E511" s="6"/>
      <c r="F511" s="7" t="s">
        <v>1184</v>
      </c>
      <c r="G511" s="6" t="s">
        <v>1131</v>
      </c>
      <c r="H511" s="7" t="s">
        <v>1189</v>
      </c>
      <c r="I511" s="25" t="s">
        <v>18</v>
      </c>
      <c r="J511" s="9">
        <v>12381.9</v>
      </c>
      <c r="K511" s="16">
        <v>1196</v>
      </c>
      <c r="L511" s="6"/>
      <c r="M511" s="11">
        <f>K511</f>
        <v>1196</v>
      </c>
    </row>
    <row r="512" spans="1:13" x14ac:dyDescent="0.25">
      <c r="A512" s="6" t="s">
        <v>1132</v>
      </c>
      <c r="B512" s="7">
        <f ca="1">$I$1-I512</f>
        <v>87</v>
      </c>
      <c r="C512" s="12">
        <v>3</v>
      </c>
      <c r="D512" s="10">
        <v>99.9</v>
      </c>
      <c r="E512" s="10">
        <f>D512*C512</f>
        <v>299.70000000000005</v>
      </c>
      <c r="F512" s="7" t="s">
        <v>1184</v>
      </c>
      <c r="G512" s="6" t="s">
        <v>1133</v>
      </c>
      <c r="H512" s="7" t="s">
        <v>1186</v>
      </c>
      <c r="I512" s="25" t="s">
        <v>187</v>
      </c>
      <c r="J512" s="9">
        <v>7581.96</v>
      </c>
      <c r="K512" s="16">
        <v>1196</v>
      </c>
      <c r="L512" s="11">
        <f>E512</f>
        <v>299.70000000000005</v>
      </c>
      <c r="M512" s="6"/>
    </row>
    <row r="513" spans="1:13" x14ac:dyDescent="0.25">
      <c r="A513" s="6" t="s">
        <v>1134</v>
      </c>
      <c r="B513" s="7">
        <f t="shared" ref="B513:B514" ca="1" si="250">$I$1-I513</f>
        <v>73</v>
      </c>
      <c r="C513" s="7"/>
      <c r="D513" s="7"/>
      <c r="E513" s="7"/>
      <c r="F513" s="7" t="s">
        <v>1184</v>
      </c>
      <c r="G513" s="6" t="s">
        <v>1135</v>
      </c>
      <c r="H513" s="7" t="s">
        <v>1187</v>
      </c>
      <c r="I513" s="25" t="s">
        <v>324</v>
      </c>
      <c r="J513" s="9">
        <v>4842.54</v>
      </c>
      <c r="K513" s="16">
        <v>1196</v>
      </c>
      <c r="L513" s="6"/>
      <c r="M513" s="11">
        <f t="shared" ref="M513:M514" si="251">K513</f>
        <v>1196</v>
      </c>
    </row>
    <row r="514" spans="1:13" x14ac:dyDescent="0.25">
      <c r="A514" s="6" t="s">
        <v>1136</v>
      </c>
      <c r="B514" s="7">
        <f t="shared" ca="1" si="250"/>
        <v>73</v>
      </c>
      <c r="C514" s="7"/>
      <c r="D514" s="7"/>
      <c r="E514" s="7"/>
      <c r="F514" s="7" t="s">
        <v>1184</v>
      </c>
      <c r="G514" s="6" t="s">
        <v>1137</v>
      </c>
      <c r="H514" s="7" t="s">
        <v>1187</v>
      </c>
      <c r="I514" s="25" t="s">
        <v>324</v>
      </c>
      <c r="J514" s="9">
        <v>4842.54</v>
      </c>
      <c r="K514" s="16">
        <v>1196</v>
      </c>
      <c r="L514" s="6"/>
      <c r="M514" s="11">
        <f t="shared" si="251"/>
        <v>1196</v>
      </c>
    </row>
    <row r="515" spans="1:13" x14ac:dyDescent="0.25">
      <c r="A515" s="6" t="s">
        <v>1138</v>
      </c>
      <c r="B515" s="7">
        <f ca="1">$I$1-I515</f>
        <v>99</v>
      </c>
      <c r="C515" s="12">
        <v>3</v>
      </c>
      <c r="D515" s="10">
        <v>99.9</v>
      </c>
      <c r="E515" s="10">
        <f>D515*C515</f>
        <v>299.70000000000005</v>
      </c>
      <c r="F515" s="7" t="s">
        <v>1184</v>
      </c>
      <c r="G515" s="6" t="s">
        <v>1139</v>
      </c>
      <c r="H515" s="7" t="s">
        <v>1186</v>
      </c>
      <c r="I515" s="25" t="s">
        <v>375</v>
      </c>
      <c r="J515" s="9">
        <v>7581.96</v>
      </c>
      <c r="K515" s="16">
        <v>1196</v>
      </c>
      <c r="L515" s="11">
        <f>E515</f>
        <v>299.70000000000005</v>
      </c>
      <c r="M515" s="6"/>
    </row>
    <row r="516" spans="1:13" x14ac:dyDescent="0.25">
      <c r="A516" s="6" t="s">
        <v>1140</v>
      </c>
      <c r="B516" s="7">
        <f ca="1">$I$1-I516</f>
        <v>96</v>
      </c>
      <c r="C516" s="7"/>
      <c r="D516" s="7"/>
      <c r="E516" s="7"/>
      <c r="F516" s="7" t="s">
        <v>1184</v>
      </c>
      <c r="G516" s="6" t="s">
        <v>1141</v>
      </c>
      <c r="H516" s="7" t="s">
        <v>1187</v>
      </c>
      <c r="I516" s="25" t="s">
        <v>112</v>
      </c>
      <c r="J516" s="9">
        <v>4611.96</v>
      </c>
      <c r="K516" s="16">
        <v>1196</v>
      </c>
      <c r="L516" s="6"/>
      <c r="M516" s="11">
        <f t="shared" ref="M516:M517" si="252">K516</f>
        <v>1196</v>
      </c>
    </row>
    <row r="517" spans="1:13" x14ac:dyDescent="0.25">
      <c r="A517" s="6" t="s">
        <v>1142</v>
      </c>
      <c r="B517" s="7">
        <v>47</v>
      </c>
      <c r="C517" s="7"/>
      <c r="D517" s="7"/>
      <c r="E517" s="7"/>
      <c r="F517" s="7" t="s">
        <v>1184</v>
      </c>
      <c r="G517" s="6" t="s">
        <v>1143</v>
      </c>
      <c r="H517" s="7" t="s">
        <v>13</v>
      </c>
      <c r="I517" s="25" t="s">
        <v>1144</v>
      </c>
      <c r="J517" s="9">
        <v>4188</v>
      </c>
      <c r="K517" s="16">
        <v>1196</v>
      </c>
      <c r="L517" s="6"/>
      <c r="M517" s="11">
        <f t="shared" si="252"/>
        <v>1196</v>
      </c>
    </row>
    <row r="518" spans="1:13" x14ac:dyDescent="0.25">
      <c r="A518" s="6" t="s">
        <v>1145</v>
      </c>
      <c r="B518" s="7">
        <f t="shared" ref="B518:B520" ca="1" si="253">$I$1-I518</f>
        <v>92</v>
      </c>
      <c r="C518" s="12">
        <v>3</v>
      </c>
      <c r="D518" s="10">
        <v>99.9</v>
      </c>
      <c r="E518" s="10">
        <f t="shared" ref="E518:E520" si="254">D518*C518</f>
        <v>299.70000000000005</v>
      </c>
      <c r="F518" s="7" t="s">
        <v>1184</v>
      </c>
      <c r="G518" s="6" t="s">
        <v>1146</v>
      </c>
      <c r="H518" s="7" t="s">
        <v>1188</v>
      </c>
      <c r="I518" s="25" t="s">
        <v>21</v>
      </c>
      <c r="J518" s="9">
        <v>6681.96</v>
      </c>
      <c r="K518" s="16">
        <v>1196</v>
      </c>
      <c r="L518" s="11">
        <f t="shared" ref="L518:L520" si="255">E518</f>
        <v>299.70000000000005</v>
      </c>
      <c r="M518" s="6"/>
    </row>
    <row r="519" spans="1:13" x14ac:dyDescent="0.25">
      <c r="A519" s="6" t="s">
        <v>1147</v>
      </c>
      <c r="B519" s="7">
        <f t="shared" ca="1" si="253"/>
        <v>95</v>
      </c>
      <c r="C519" s="12">
        <v>3</v>
      </c>
      <c r="D519" s="10">
        <v>99.9</v>
      </c>
      <c r="E519" s="10">
        <f t="shared" si="254"/>
        <v>299.70000000000005</v>
      </c>
      <c r="F519" s="7" t="s">
        <v>1184</v>
      </c>
      <c r="G519" s="6" t="s">
        <v>1148</v>
      </c>
      <c r="H519" s="7" t="s">
        <v>1188</v>
      </c>
      <c r="I519" s="25" t="s">
        <v>280</v>
      </c>
      <c r="J519" s="9">
        <v>6681.96</v>
      </c>
      <c r="K519" s="16">
        <v>1196</v>
      </c>
      <c r="L519" s="11">
        <f t="shared" si="255"/>
        <v>299.70000000000005</v>
      </c>
      <c r="M519" s="6"/>
    </row>
    <row r="520" spans="1:13" x14ac:dyDescent="0.25">
      <c r="A520" s="6" t="s">
        <v>1149</v>
      </c>
      <c r="B520" s="7">
        <f t="shared" ca="1" si="253"/>
        <v>91</v>
      </c>
      <c r="C520" s="12">
        <v>3</v>
      </c>
      <c r="D520" s="10">
        <v>99.9</v>
      </c>
      <c r="E520" s="10">
        <f t="shared" si="254"/>
        <v>299.70000000000005</v>
      </c>
      <c r="F520" s="7" t="s">
        <v>1184</v>
      </c>
      <c r="G520" s="6" t="s">
        <v>1150</v>
      </c>
      <c r="H520" s="7" t="s">
        <v>1188</v>
      </c>
      <c r="I520" s="25" t="s">
        <v>125</v>
      </c>
      <c r="J520" s="9">
        <v>6681.96</v>
      </c>
      <c r="K520" s="16">
        <v>1196</v>
      </c>
      <c r="L520" s="11">
        <f t="shared" si="255"/>
        <v>299.70000000000005</v>
      </c>
      <c r="M520" s="6"/>
    </row>
    <row r="521" spans="1:13" x14ac:dyDescent="0.25">
      <c r="A521" s="6" t="s">
        <v>1151</v>
      </c>
      <c r="B521" s="7">
        <f t="shared" ref="B521:B522" ca="1" si="256">$I$1-I521</f>
        <v>91</v>
      </c>
      <c r="C521" s="7"/>
      <c r="D521" s="7"/>
      <c r="E521" s="7"/>
      <c r="F521" s="7" t="s">
        <v>1184</v>
      </c>
      <c r="G521" s="6" t="s">
        <v>1152</v>
      </c>
      <c r="H521" s="7" t="s">
        <v>13</v>
      </c>
      <c r="I521" s="25" t="s">
        <v>125</v>
      </c>
      <c r="J521" s="9">
        <v>4188</v>
      </c>
      <c r="K521" s="16">
        <v>1196</v>
      </c>
      <c r="L521" s="6"/>
      <c r="M521" s="11">
        <f t="shared" ref="M521:M522" si="257">K521</f>
        <v>1196</v>
      </c>
    </row>
    <row r="522" spans="1:13" x14ac:dyDescent="0.25">
      <c r="A522" s="6" t="s">
        <v>1153</v>
      </c>
      <c r="B522" s="7">
        <f t="shared" ca="1" si="256"/>
        <v>91</v>
      </c>
      <c r="C522" s="7"/>
      <c r="D522" s="7"/>
      <c r="E522" s="7"/>
      <c r="F522" s="7" t="s">
        <v>1184</v>
      </c>
      <c r="G522" s="6" t="s">
        <v>1154</v>
      </c>
      <c r="H522" s="7" t="s">
        <v>1187</v>
      </c>
      <c r="I522" s="25" t="s">
        <v>125</v>
      </c>
      <c r="J522" s="9">
        <v>7242.96</v>
      </c>
      <c r="K522" s="16">
        <v>1196</v>
      </c>
      <c r="L522" s="6"/>
      <c r="M522" s="11">
        <f t="shared" si="257"/>
        <v>1196</v>
      </c>
    </row>
    <row r="523" spans="1:13" x14ac:dyDescent="0.25">
      <c r="A523" s="6" t="s">
        <v>1155</v>
      </c>
      <c r="B523" s="6"/>
      <c r="C523" s="6"/>
      <c r="D523" s="6"/>
      <c r="E523" s="6"/>
      <c r="F523" s="7" t="s">
        <v>1184</v>
      </c>
      <c r="G523" s="6" t="s">
        <v>1156</v>
      </c>
      <c r="H523" s="7" t="s">
        <v>1189</v>
      </c>
      <c r="I523" s="25" t="s">
        <v>830</v>
      </c>
      <c r="J523" s="9">
        <v>4188</v>
      </c>
      <c r="K523" s="16">
        <v>1196</v>
      </c>
      <c r="L523" s="6"/>
      <c r="M523" s="11">
        <f>K523</f>
        <v>1196</v>
      </c>
    </row>
    <row r="524" spans="1:13" x14ac:dyDescent="0.25">
      <c r="A524" s="6" t="s">
        <v>1157</v>
      </c>
      <c r="B524" s="7">
        <f ca="1">$I$1-I524</f>
        <v>92</v>
      </c>
      <c r="C524" s="7"/>
      <c r="D524" s="7"/>
      <c r="E524" s="7"/>
      <c r="F524" s="7" t="s">
        <v>1184</v>
      </c>
      <c r="G524" s="6" t="s">
        <v>1158</v>
      </c>
      <c r="H524" s="7" t="s">
        <v>1187</v>
      </c>
      <c r="I524" s="25" t="s">
        <v>21</v>
      </c>
      <c r="J524" s="9">
        <v>4611.96</v>
      </c>
      <c r="K524" s="16">
        <v>1196</v>
      </c>
      <c r="L524" s="6"/>
      <c r="M524" s="11">
        <f>K524</f>
        <v>1196</v>
      </c>
    </row>
    <row r="525" spans="1:13" x14ac:dyDescent="0.25">
      <c r="A525" s="6" t="s">
        <v>1159</v>
      </c>
      <c r="B525" s="7">
        <f ca="1">$I$1-I525</f>
        <v>92</v>
      </c>
      <c r="C525" s="12">
        <v>3</v>
      </c>
      <c r="D525" s="10">
        <v>99.9</v>
      </c>
      <c r="E525" s="10">
        <f>D525*C525</f>
        <v>299.70000000000005</v>
      </c>
      <c r="F525" s="7" t="s">
        <v>1184</v>
      </c>
      <c r="G525" s="6" t="s">
        <v>1160</v>
      </c>
      <c r="H525" s="7" t="s">
        <v>1188</v>
      </c>
      <c r="I525" s="25" t="s">
        <v>21</v>
      </c>
      <c r="J525" s="9">
        <v>6681.96</v>
      </c>
      <c r="K525" s="16">
        <v>1196</v>
      </c>
      <c r="L525" s="11">
        <f>E525</f>
        <v>299.70000000000005</v>
      </c>
      <c r="M525" s="6"/>
    </row>
    <row r="526" spans="1:13" x14ac:dyDescent="0.25">
      <c r="A526" s="6" t="s">
        <v>1161</v>
      </c>
      <c r="B526" s="7">
        <f t="shared" ref="B526:B527" ca="1" si="258">$I$1-I526</f>
        <v>87</v>
      </c>
      <c r="C526" s="7"/>
      <c r="D526" s="7"/>
      <c r="E526" s="7"/>
      <c r="F526" s="7" t="s">
        <v>1184</v>
      </c>
      <c r="G526" s="6" t="s">
        <v>1162</v>
      </c>
      <c r="H526" s="7" t="s">
        <v>1187</v>
      </c>
      <c r="I526" s="25" t="s">
        <v>187</v>
      </c>
      <c r="J526" s="9">
        <v>4500</v>
      </c>
      <c r="K526" s="16">
        <v>1196</v>
      </c>
      <c r="L526" s="6"/>
      <c r="M526" s="11">
        <f t="shared" ref="M526:M527" si="259">K526</f>
        <v>1196</v>
      </c>
    </row>
    <row r="527" spans="1:13" x14ac:dyDescent="0.25">
      <c r="A527" s="6" t="s">
        <v>1163</v>
      </c>
      <c r="B527" s="7">
        <f t="shared" ca="1" si="258"/>
        <v>91</v>
      </c>
      <c r="C527" s="7"/>
      <c r="D527" s="7"/>
      <c r="E527" s="7"/>
      <c r="F527" s="7" t="s">
        <v>1184</v>
      </c>
      <c r="G527" s="6" t="s">
        <v>1164</v>
      </c>
      <c r="H527" s="7" t="s">
        <v>1187</v>
      </c>
      <c r="I527" s="25" t="s">
        <v>125</v>
      </c>
      <c r="J527" s="9">
        <v>4842.54</v>
      </c>
      <c r="K527" s="16">
        <v>1196</v>
      </c>
      <c r="L527" s="6"/>
      <c r="M527" s="11">
        <f t="shared" si="259"/>
        <v>1196</v>
      </c>
    </row>
    <row r="528" spans="1:13" x14ac:dyDescent="0.25">
      <c r="A528" s="6" t="s">
        <v>1165</v>
      </c>
      <c r="B528" s="6"/>
      <c r="C528" s="6"/>
      <c r="D528" s="6"/>
      <c r="E528" s="6"/>
      <c r="F528" s="7" t="s">
        <v>1184</v>
      </c>
      <c r="G528" s="6" t="s">
        <v>1166</v>
      </c>
      <c r="H528" s="7" t="s">
        <v>1189</v>
      </c>
      <c r="I528" s="25" t="s">
        <v>416</v>
      </c>
      <c r="J528" s="9">
        <v>6681.96</v>
      </c>
      <c r="K528" s="16">
        <v>1196</v>
      </c>
      <c r="L528" s="6"/>
      <c r="M528" s="11">
        <f>K528</f>
        <v>1196</v>
      </c>
    </row>
    <row r="529" spans="1:13" x14ac:dyDescent="0.25">
      <c r="A529" s="6" t="s">
        <v>1167</v>
      </c>
      <c r="B529" s="7">
        <f ca="1">$I$1-I529</f>
        <v>86</v>
      </c>
      <c r="C529" s="7"/>
      <c r="D529" s="7"/>
      <c r="E529" s="7"/>
      <c r="F529" s="7" t="s">
        <v>1184</v>
      </c>
      <c r="G529" s="6" t="s">
        <v>1168</v>
      </c>
      <c r="H529" s="7" t="s">
        <v>13</v>
      </c>
      <c r="I529" s="25" t="s">
        <v>246</v>
      </c>
      <c r="J529" s="9">
        <v>4188</v>
      </c>
      <c r="K529" s="16">
        <v>1196</v>
      </c>
      <c r="L529" s="6"/>
      <c r="M529" s="11">
        <f>K529</f>
        <v>1196</v>
      </c>
    </row>
    <row r="530" spans="1:13" x14ac:dyDescent="0.25">
      <c r="A530" s="6" t="s">
        <v>1169</v>
      </c>
      <c r="B530" s="7">
        <f ca="1">$I$1-I530</f>
        <v>76</v>
      </c>
      <c r="C530" s="12">
        <v>3</v>
      </c>
      <c r="D530" s="10">
        <v>99.9</v>
      </c>
      <c r="E530" s="10">
        <f>D530*C530</f>
        <v>299.70000000000005</v>
      </c>
      <c r="F530" s="7" t="s">
        <v>1184</v>
      </c>
      <c r="G530" s="6" t="s">
        <v>1170</v>
      </c>
      <c r="H530" s="7" t="s">
        <v>1188</v>
      </c>
      <c r="I530" s="25" t="s">
        <v>484</v>
      </c>
      <c r="J530" s="9">
        <v>6681.96</v>
      </c>
      <c r="K530" s="16">
        <v>1196</v>
      </c>
      <c r="L530" s="11">
        <f>E530</f>
        <v>299.70000000000005</v>
      </c>
      <c r="M530" s="6"/>
    </row>
    <row r="531" spans="1:13" x14ac:dyDescent="0.25">
      <c r="A531" s="6" t="s">
        <v>1171</v>
      </c>
      <c r="B531" s="6"/>
      <c r="C531" s="6"/>
      <c r="D531" s="6"/>
      <c r="E531" s="6"/>
      <c r="F531" s="7" t="s">
        <v>1184</v>
      </c>
      <c r="G531" s="6" t="s">
        <v>1172</v>
      </c>
      <c r="H531" s="7" t="s">
        <v>1189</v>
      </c>
      <c r="I531" s="25" t="s">
        <v>304</v>
      </c>
      <c r="J531" s="9">
        <v>6681.74</v>
      </c>
      <c r="K531" s="16">
        <v>1196</v>
      </c>
      <c r="L531" s="6"/>
      <c r="M531" s="11">
        <f>K531</f>
        <v>1196</v>
      </c>
    </row>
    <row r="532" spans="1:13" x14ac:dyDescent="0.25">
      <c r="A532" s="6" t="s">
        <v>1173</v>
      </c>
      <c r="B532" s="7">
        <f ca="1">$I$1-I532</f>
        <v>79</v>
      </c>
      <c r="C532" s="12">
        <v>3</v>
      </c>
      <c r="D532" s="10">
        <v>99.9</v>
      </c>
      <c r="E532" s="10">
        <f>D532*C532</f>
        <v>299.70000000000005</v>
      </c>
      <c r="F532" s="7" t="s">
        <v>1184</v>
      </c>
      <c r="G532" s="6" t="s">
        <v>1174</v>
      </c>
      <c r="H532" s="7" t="s">
        <v>1186</v>
      </c>
      <c r="I532" s="25" t="s">
        <v>237</v>
      </c>
      <c r="J532" s="9">
        <v>7581.96</v>
      </c>
      <c r="K532" s="16">
        <v>1196</v>
      </c>
      <c r="L532" s="11">
        <f>E532</f>
        <v>299.70000000000005</v>
      </c>
      <c r="M532" s="6"/>
    </row>
    <row r="533" spans="1:13" x14ac:dyDescent="0.25">
      <c r="A533" s="6" t="s">
        <v>1175</v>
      </c>
      <c r="B533" s="6"/>
      <c r="C533" s="6"/>
      <c r="D533" s="6"/>
      <c r="E533" s="6"/>
      <c r="F533" s="7" t="s">
        <v>1184</v>
      </c>
      <c r="G533" s="6" t="s">
        <v>1176</v>
      </c>
      <c r="H533" s="7" t="s">
        <v>1189</v>
      </c>
      <c r="I533" s="25" t="s">
        <v>128</v>
      </c>
      <c r="J533" s="9">
        <v>5211.92</v>
      </c>
      <c r="K533" s="16">
        <v>1196</v>
      </c>
      <c r="L533" s="6"/>
      <c r="M533" s="11">
        <f>K533</f>
        <v>1196</v>
      </c>
    </row>
    <row r="534" spans="1:13" x14ac:dyDescent="0.25">
      <c r="A534" s="6" t="s">
        <v>1177</v>
      </c>
      <c r="B534" s="7">
        <f t="shared" ref="B534:B535" ca="1" si="260">$I$1-I534</f>
        <v>87</v>
      </c>
      <c r="C534" s="12">
        <v>3</v>
      </c>
      <c r="D534" s="10">
        <v>99.9</v>
      </c>
      <c r="E534" s="10">
        <f t="shared" ref="E534:E535" si="261">D534*C534</f>
        <v>299.70000000000005</v>
      </c>
      <c r="F534" s="7" t="s">
        <v>1184</v>
      </c>
      <c r="G534" s="6" t="s">
        <v>1178</v>
      </c>
      <c r="H534" s="7" t="s">
        <v>1186</v>
      </c>
      <c r="I534" s="25" t="s">
        <v>187</v>
      </c>
      <c r="J534" s="9">
        <v>7581.96</v>
      </c>
      <c r="K534" s="16">
        <v>1196</v>
      </c>
      <c r="L534" s="11">
        <f t="shared" ref="L534:L535" si="262">E534</f>
        <v>299.70000000000005</v>
      </c>
      <c r="M534" s="6"/>
    </row>
    <row r="535" spans="1:13" x14ac:dyDescent="0.25">
      <c r="A535" s="6" t="s">
        <v>1179</v>
      </c>
      <c r="B535" s="7">
        <f t="shared" ca="1" si="260"/>
        <v>78</v>
      </c>
      <c r="C535" s="12">
        <v>3</v>
      </c>
      <c r="D535" s="10">
        <v>99.9</v>
      </c>
      <c r="E535" s="10">
        <f t="shared" si="261"/>
        <v>299.70000000000005</v>
      </c>
      <c r="F535" s="7" t="s">
        <v>1184</v>
      </c>
      <c r="G535" s="6" t="s">
        <v>1180</v>
      </c>
      <c r="H535" s="7" t="s">
        <v>1186</v>
      </c>
      <c r="I535" s="25" t="s">
        <v>139</v>
      </c>
      <c r="J535" s="9">
        <v>9982.02</v>
      </c>
      <c r="K535" s="16">
        <v>1196</v>
      </c>
      <c r="L535" s="11">
        <f t="shared" si="262"/>
        <v>299.70000000000005</v>
      </c>
      <c r="M535" s="6"/>
    </row>
    <row r="536" spans="1:13" x14ac:dyDescent="0.25">
      <c r="A536" s="6" t="s">
        <v>1181</v>
      </c>
      <c r="B536" s="6"/>
      <c r="C536" s="6"/>
      <c r="D536" s="6"/>
      <c r="E536" s="6"/>
      <c r="F536" s="7" t="s">
        <v>1184</v>
      </c>
      <c r="G536" s="6" t="s">
        <v>1182</v>
      </c>
      <c r="H536" s="7" t="s">
        <v>1189</v>
      </c>
      <c r="I536" s="25" t="s">
        <v>324</v>
      </c>
      <c r="J536" s="9">
        <v>6681.96</v>
      </c>
      <c r="K536" s="16">
        <v>1196</v>
      </c>
      <c r="L536" s="6"/>
      <c r="M536" s="11">
        <f>K536</f>
        <v>1196</v>
      </c>
    </row>
  </sheetData>
  <autoFilter ref="A2:M536" xr:uid="{E1006F8D-0928-4A0C-BE63-5BB74460BA1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C5C7-1875-4E91-8766-B5C84B1DBA47}">
  <dimension ref="A1:I128"/>
  <sheetViews>
    <sheetView showGridLines="0" zoomScaleNormal="100" workbookViewId="0">
      <selection activeCell="F4" sqref="F4"/>
    </sheetView>
  </sheetViews>
  <sheetFormatPr defaultRowHeight="15" x14ac:dyDescent="0.25"/>
  <cols>
    <col min="1" max="1" width="11.28515625" style="22" bestFit="1" customWidth="1"/>
    <col min="2" max="2" width="23.42578125" style="22" bestFit="1" customWidth="1"/>
    <col min="3" max="3" width="29.28515625" style="22" bestFit="1" customWidth="1"/>
    <col min="4" max="4" width="18.7109375" style="22" bestFit="1" customWidth="1"/>
    <col min="5" max="5" width="30.42578125" style="22" bestFit="1" customWidth="1"/>
    <col min="6" max="122" width="22.28515625" style="22" bestFit="1" customWidth="1"/>
    <col min="123" max="123" width="12.140625" style="22" bestFit="1" customWidth="1"/>
    <col min="124" max="16384" width="9.140625" style="22"/>
  </cols>
  <sheetData>
    <row r="1" spans="1:9" x14ac:dyDescent="0.25">
      <c r="A1" s="30" t="s">
        <v>1202</v>
      </c>
      <c r="B1" s="30" t="s">
        <v>1199</v>
      </c>
      <c r="C1" s="30" t="s">
        <v>1205</v>
      </c>
      <c r="D1" s="30" t="s">
        <v>1200</v>
      </c>
      <c r="E1" s="30" t="s">
        <v>1201</v>
      </c>
      <c r="F1" s="26"/>
      <c r="G1" s="26"/>
      <c r="H1" s="26"/>
      <c r="I1" s="26"/>
    </row>
    <row r="2" spans="1:9" x14ac:dyDescent="0.25">
      <c r="A2" s="27" t="s">
        <v>13</v>
      </c>
      <c r="B2" s="28"/>
      <c r="C2" s="28"/>
      <c r="D2" s="28">
        <v>256542</v>
      </c>
      <c r="E2" s="28">
        <v>256542</v>
      </c>
      <c r="F2" s="26"/>
      <c r="G2" s="26"/>
      <c r="H2" s="26"/>
      <c r="I2" s="26"/>
    </row>
    <row r="3" spans="1:9" x14ac:dyDescent="0.25">
      <c r="A3" s="27" t="s">
        <v>1203</v>
      </c>
      <c r="B3" s="28">
        <v>107082.28999999992</v>
      </c>
      <c r="C3" s="28">
        <v>184143.71</v>
      </c>
      <c r="D3" s="28"/>
      <c r="E3" s="28">
        <v>291226</v>
      </c>
      <c r="F3" s="26"/>
      <c r="G3" s="26"/>
      <c r="H3" s="26"/>
      <c r="I3" s="26"/>
    </row>
    <row r="4" spans="1:9" x14ac:dyDescent="0.25">
      <c r="A4" s="27" t="s">
        <v>1198</v>
      </c>
      <c r="B4" s="28">
        <v>107082.28999999992</v>
      </c>
      <c r="C4" s="28">
        <v>184143.71</v>
      </c>
      <c r="D4" s="28">
        <v>256542</v>
      </c>
      <c r="E4" s="28">
        <v>547768</v>
      </c>
      <c r="F4" s="26"/>
      <c r="G4" s="26"/>
      <c r="H4" s="26"/>
      <c r="I4" s="26"/>
    </row>
    <row r="5" spans="1:9" x14ac:dyDescent="0.25">
      <c r="A5" s="26"/>
      <c r="B5" s="26"/>
      <c r="C5" s="26"/>
      <c r="D5" s="26"/>
      <c r="E5" s="26"/>
      <c r="F5" s="26"/>
      <c r="G5" s="26"/>
      <c r="H5" s="26"/>
      <c r="I5" s="26"/>
    </row>
    <row r="6" spans="1:9" x14ac:dyDescent="0.25">
      <c r="A6" s="26"/>
      <c r="B6" s="26"/>
      <c r="C6" s="26"/>
      <c r="D6" s="26"/>
      <c r="E6" s="26"/>
      <c r="F6" s="26"/>
      <c r="G6" s="26"/>
      <c r="H6" s="26"/>
      <c r="I6" s="26"/>
    </row>
    <row r="7" spans="1:9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x14ac:dyDescent="0.25">
      <c r="A8" s="26"/>
      <c r="B8" s="26"/>
      <c r="C8" s="26"/>
      <c r="D8" s="26"/>
      <c r="E8" s="26"/>
      <c r="F8" s="26"/>
      <c r="G8" s="26"/>
      <c r="H8" s="26"/>
      <c r="I8" s="26"/>
    </row>
    <row r="9" spans="1:9" x14ac:dyDescent="0.25">
      <c r="A9" s="26"/>
      <c r="B9" s="26"/>
      <c r="C9" s="26"/>
      <c r="D9" s="26"/>
      <c r="E9" s="26"/>
      <c r="F9" s="26"/>
      <c r="G9" s="26"/>
      <c r="H9" s="26"/>
      <c r="I9" s="26"/>
    </row>
    <row r="10" spans="1:9" x14ac:dyDescent="0.25">
      <c r="A10" s="26"/>
      <c r="B10" s="26"/>
      <c r="C10" s="26"/>
      <c r="D10" s="26"/>
      <c r="E10" s="26"/>
      <c r="F10" s="26"/>
      <c r="G10" s="26"/>
      <c r="H10" s="26"/>
      <c r="I10" s="26"/>
    </row>
    <row r="11" spans="1:9" x14ac:dyDescent="0.2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25">
      <c r="A12" s="26"/>
      <c r="B12" s="26"/>
      <c r="C12" s="26"/>
      <c r="D12" s="26"/>
      <c r="E12" s="26"/>
      <c r="F12" s="26"/>
      <c r="G12" s="26"/>
      <c r="H12" s="26"/>
      <c r="I12" s="26"/>
    </row>
    <row r="13" spans="1:9" x14ac:dyDescent="0.25">
      <c r="A13" s="26"/>
      <c r="B13" s="26"/>
      <c r="C13" s="26"/>
      <c r="D13" s="26"/>
      <c r="E13" s="26"/>
      <c r="F13" s="26"/>
      <c r="G13" s="26"/>
      <c r="H13" s="26"/>
      <c r="I13" s="26"/>
    </row>
    <row r="14" spans="1:9" x14ac:dyDescent="0.25">
      <c r="A14" s="26"/>
      <c r="B14" s="26"/>
      <c r="C14" s="26"/>
      <c r="D14" s="26"/>
      <c r="E14" s="26"/>
      <c r="F14" s="26"/>
      <c r="G14" s="26"/>
      <c r="H14" s="26"/>
      <c r="I14" s="26"/>
    </row>
    <row r="15" spans="1:9" x14ac:dyDescent="0.25">
      <c r="A15" s="26"/>
      <c r="B15" s="26"/>
      <c r="C15" s="26"/>
      <c r="D15" s="26"/>
      <c r="E15" s="26"/>
      <c r="F15" s="26"/>
      <c r="G15" s="26"/>
      <c r="H15" s="26"/>
      <c r="I15" s="26"/>
    </row>
    <row r="16" spans="1:9" ht="14.2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</row>
    <row r="17" spans="1:9" x14ac:dyDescent="0.25">
      <c r="A17" s="26"/>
      <c r="B17" s="26"/>
      <c r="C17" s="26"/>
      <c r="D17" s="26"/>
      <c r="E17" s="26"/>
      <c r="F17" s="26"/>
      <c r="G17" s="26"/>
      <c r="H17" s="26"/>
      <c r="I17" s="26"/>
    </row>
    <row r="18" spans="1:9" x14ac:dyDescent="0.25">
      <c r="A18" s="26"/>
      <c r="B18" s="26"/>
      <c r="C18" s="26"/>
      <c r="D18" s="26"/>
      <c r="E18" s="26"/>
      <c r="F18" s="26"/>
      <c r="G18" s="26"/>
      <c r="H18" s="26"/>
      <c r="I18" s="26"/>
    </row>
    <row r="19" spans="1:9" x14ac:dyDescent="0.25">
      <c r="A19" s="26"/>
      <c r="B19" s="26"/>
      <c r="C19" s="26"/>
      <c r="D19" s="26"/>
      <c r="E19" s="26"/>
      <c r="F19" s="26"/>
      <c r="G19" s="26"/>
      <c r="H19" s="26"/>
      <c r="I19" s="26"/>
    </row>
    <row r="20" spans="1:9" x14ac:dyDescent="0.25">
      <c r="A20" s="26"/>
      <c r="B20" s="26"/>
      <c r="C20" s="26"/>
      <c r="D20" s="26"/>
      <c r="E20" s="26"/>
      <c r="F20" s="26"/>
      <c r="G20" s="26"/>
      <c r="H20" s="26"/>
      <c r="I20" s="26"/>
    </row>
    <row r="21" spans="1:9" x14ac:dyDescent="0.25">
      <c r="A21" s="26"/>
      <c r="B21" s="26"/>
      <c r="C21" s="26"/>
      <c r="D21" s="26"/>
      <c r="E21" s="26"/>
      <c r="F21" s="26"/>
      <c r="G21" s="26"/>
      <c r="H21" s="26"/>
      <c r="I21" s="26"/>
    </row>
    <row r="22" spans="1:9" x14ac:dyDescent="0.25">
      <c r="A22" s="26"/>
      <c r="B22" s="26"/>
      <c r="C22" s="26"/>
      <c r="D22" s="26"/>
      <c r="E22" s="26"/>
      <c r="F22" s="26"/>
      <c r="G22" s="26"/>
      <c r="H22" s="26"/>
      <c r="I22" s="26"/>
    </row>
    <row r="23" spans="1:9" x14ac:dyDescent="0.25">
      <c r="A23" s="26"/>
      <c r="B23" s="26"/>
      <c r="C23" s="26"/>
      <c r="D23" s="26"/>
      <c r="E23" s="26"/>
      <c r="F23" s="26"/>
      <c r="G23" s="26"/>
      <c r="H23" s="26"/>
      <c r="I23" s="26"/>
    </row>
    <row r="24" spans="1:9" x14ac:dyDescent="0.25">
      <c r="A24" s="26"/>
      <c r="B24" s="26"/>
      <c r="C24" s="26"/>
      <c r="D24" s="26"/>
      <c r="E24" s="26"/>
      <c r="F24" s="26"/>
      <c r="G24" s="26"/>
      <c r="H24" s="26"/>
      <c r="I24" s="26"/>
    </row>
    <row r="25" spans="1:9" x14ac:dyDescent="0.25">
      <c r="A25" s="26"/>
      <c r="B25" s="26"/>
      <c r="C25" s="26"/>
      <c r="D25" s="26"/>
      <c r="E25" s="26"/>
      <c r="F25" s="26"/>
      <c r="G25" s="26"/>
      <c r="H25" s="26"/>
      <c r="I25" s="26"/>
    </row>
    <row r="26" spans="1:9" x14ac:dyDescent="0.25">
      <c r="A26" s="26"/>
      <c r="B26" s="26"/>
      <c r="C26" s="26"/>
      <c r="D26" s="26"/>
      <c r="E26" s="26"/>
      <c r="F26" s="26"/>
      <c r="G26" s="26"/>
      <c r="H26" s="26"/>
      <c r="I26" s="26"/>
    </row>
    <row r="27" spans="1:9" x14ac:dyDescent="0.25">
      <c r="A27" s="26"/>
      <c r="B27" s="26"/>
      <c r="C27" s="26"/>
      <c r="D27" s="26"/>
      <c r="E27" s="26"/>
      <c r="F27" s="26"/>
      <c r="G27" s="26"/>
      <c r="H27" s="26"/>
      <c r="I27" s="26"/>
    </row>
    <row r="28" spans="1:9" s="23" customFormat="1" x14ac:dyDescent="0.25">
      <c r="A28" s="29"/>
      <c r="B28" s="29"/>
      <c r="C28" s="29"/>
      <c r="D28" s="29"/>
      <c r="E28" s="29"/>
      <c r="F28" s="29"/>
      <c r="G28" s="29"/>
      <c r="H28" s="29"/>
      <c r="I28" s="29"/>
    </row>
    <row r="29" spans="1:9" x14ac:dyDescent="0.25">
      <c r="A29" s="26"/>
      <c r="B29" s="26"/>
      <c r="C29" s="26"/>
      <c r="D29" s="26"/>
      <c r="E29" s="26"/>
      <c r="F29" s="26"/>
      <c r="G29" s="26"/>
      <c r="H29" s="26"/>
      <c r="I29" s="26"/>
    </row>
    <row r="30" spans="1:9" x14ac:dyDescent="0.25">
      <c r="A30" s="26"/>
      <c r="B30" s="26"/>
      <c r="C30" s="26"/>
      <c r="D30" s="26"/>
      <c r="E30" s="26"/>
      <c r="F30" s="26"/>
      <c r="G30" s="26"/>
      <c r="H30" s="26"/>
      <c r="I30" s="26"/>
    </row>
    <row r="31" spans="1:9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9" x14ac:dyDescent="0.25">
      <c r="A32" s="26"/>
      <c r="B32" s="26"/>
      <c r="C32" s="26"/>
      <c r="D32" s="26"/>
      <c r="E32" s="26"/>
      <c r="F32" s="26"/>
      <c r="G32" s="26"/>
      <c r="H32" s="26"/>
      <c r="I32" s="26"/>
    </row>
    <row r="33" spans="1:9" x14ac:dyDescent="0.25">
      <c r="A33" s="26"/>
      <c r="B33" s="26"/>
      <c r="C33" s="26"/>
      <c r="D33" s="26"/>
      <c r="E33" s="26"/>
      <c r="F33" s="26"/>
      <c r="G33" s="26"/>
      <c r="H33" s="26"/>
      <c r="I33" s="26"/>
    </row>
    <row r="34" spans="1:9" x14ac:dyDescent="0.25">
      <c r="A34" s="26"/>
      <c r="B34" s="26"/>
      <c r="C34" s="26"/>
      <c r="D34" s="26"/>
      <c r="E34" s="26"/>
      <c r="F34" s="26"/>
      <c r="G34" s="26"/>
      <c r="H34" s="26"/>
      <c r="I34" s="26"/>
    </row>
    <row r="35" spans="1:9" x14ac:dyDescent="0.25">
      <c r="A35" s="26"/>
      <c r="B35" s="26"/>
      <c r="C35" s="26"/>
      <c r="D35" s="26"/>
      <c r="E35" s="26"/>
      <c r="F35" s="26"/>
      <c r="G35" s="26"/>
      <c r="H35" s="26"/>
      <c r="I35" s="26"/>
    </row>
    <row r="36" spans="1:9" x14ac:dyDescent="0.25">
      <c r="A36" s="26"/>
      <c r="B36" s="26"/>
      <c r="C36" s="26"/>
      <c r="D36" s="26"/>
      <c r="E36" s="26"/>
      <c r="F36" s="26"/>
      <c r="G36" s="26"/>
      <c r="H36" s="26"/>
      <c r="I36" s="26"/>
    </row>
    <row r="37" spans="1:9" x14ac:dyDescent="0.25">
      <c r="A37" s="26"/>
      <c r="B37" s="26"/>
      <c r="C37" s="26"/>
      <c r="D37" s="26"/>
      <c r="E37" s="26"/>
      <c r="F37" s="26"/>
      <c r="G37" s="26"/>
      <c r="H37" s="26"/>
      <c r="I37" s="26"/>
    </row>
    <row r="38" spans="1:9" x14ac:dyDescent="0.25">
      <c r="A38" s="26"/>
      <c r="B38" s="26"/>
      <c r="C38" s="26"/>
      <c r="D38" s="26"/>
      <c r="E38" s="26"/>
      <c r="F38" s="26"/>
      <c r="G38" s="26"/>
      <c r="H38" s="26"/>
      <c r="I38" s="26"/>
    </row>
    <row r="39" spans="1:9" x14ac:dyDescent="0.25">
      <c r="A39" s="26"/>
      <c r="B39" s="26"/>
      <c r="C39" s="26"/>
      <c r="D39" s="26"/>
      <c r="E39" s="26"/>
      <c r="F39" s="26"/>
      <c r="G39" s="26"/>
      <c r="H39" s="26"/>
      <c r="I39" s="26"/>
    </row>
    <row r="40" spans="1:9" x14ac:dyDescent="0.25">
      <c r="A40" s="26"/>
      <c r="B40" s="26"/>
      <c r="C40" s="26"/>
      <c r="D40" s="26"/>
      <c r="E40" s="26"/>
      <c r="F40" s="26"/>
      <c r="G40" s="26"/>
      <c r="H40" s="26"/>
      <c r="I40" s="26"/>
    </row>
    <row r="41" spans="1:9" x14ac:dyDescent="0.25">
      <c r="A41" s="26"/>
      <c r="B41" s="26"/>
      <c r="C41" s="26"/>
      <c r="D41" s="26"/>
      <c r="E41" s="26"/>
      <c r="F41" s="26"/>
      <c r="G41" s="26"/>
      <c r="H41" s="26"/>
      <c r="I41" s="26"/>
    </row>
    <row r="42" spans="1:9" x14ac:dyDescent="0.25">
      <c r="A42" s="26"/>
      <c r="B42" s="26"/>
      <c r="C42" s="26"/>
      <c r="D42" s="26"/>
      <c r="E42" s="26"/>
      <c r="F42" s="26"/>
      <c r="G42" s="26"/>
      <c r="H42" s="26"/>
      <c r="I42" s="26"/>
    </row>
    <row r="43" spans="1:9" x14ac:dyDescent="0.25">
      <c r="A43" s="26"/>
      <c r="B43" s="26"/>
      <c r="C43" s="26"/>
      <c r="D43" s="26"/>
      <c r="E43" s="26"/>
      <c r="F43" s="26"/>
      <c r="G43" s="26"/>
      <c r="H43" s="26"/>
      <c r="I43" s="26"/>
    </row>
    <row r="44" spans="1:9" x14ac:dyDescent="0.25">
      <c r="A44" s="26"/>
      <c r="B44" s="26"/>
      <c r="C44" s="26"/>
      <c r="D44" s="26"/>
      <c r="E44" s="26"/>
      <c r="F44" s="26"/>
      <c r="G44" s="26"/>
      <c r="H44" s="26"/>
      <c r="I44" s="26"/>
    </row>
    <row r="45" spans="1:9" x14ac:dyDescent="0.25">
      <c r="A45" s="26"/>
      <c r="B45" s="26"/>
      <c r="C45" s="26"/>
      <c r="D45" s="26"/>
      <c r="E45" s="26"/>
      <c r="F45" s="26"/>
      <c r="G45" s="26"/>
      <c r="H45" s="26"/>
      <c r="I45" s="26"/>
    </row>
    <row r="46" spans="1:9" x14ac:dyDescent="0.25">
      <c r="A46" s="26"/>
      <c r="B46" s="26"/>
      <c r="C46" s="26"/>
      <c r="D46" s="26"/>
      <c r="E46" s="26"/>
      <c r="F46" s="26"/>
      <c r="G46" s="26"/>
      <c r="H46" s="26"/>
      <c r="I46" s="26"/>
    </row>
    <row r="47" spans="1:9" x14ac:dyDescent="0.25">
      <c r="A47" s="26"/>
      <c r="B47" s="26"/>
      <c r="C47" s="26"/>
      <c r="D47" s="26"/>
      <c r="E47" s="26"/>
      <c r="F47" s="26"/>
      <c r="G47" s="26"/>
      <c r="H47" s="26"/>
      <c r="I47" s="26"/>
    </row>
    <row r="48" spans="1:9" x14ac:dyDescent="0.25">
      <c r="A48" s="26"/>
      <c r="B48" s="26"/>
      <c r="C48" s="26"/>
      <c r="D48" s="26"/>
      <c r="E48" s="26"/>
      <c r="F48" s="26"/>
      <c r="G48" s="26"/>
      <c r="H48" s="26"/>
      <c r="I48" s="26"/>
    </row>
    <row r="49" spans="1:9" x14ac:dyDescent="0.25">
      <c r="A49" s="26"/>
      <c r="B49" s="26"/>
      <c r="C49" s="26"/>
      <c r="D49" s="26"/>
      <c r="E49" s="26"/>
      <c r="F49" s="26"/>
      <c r="G49" s="26"/>
      <c r="H49" s="26"/>
      <c r="I49" s="26"/>
    </row>
    <row r="50" spans="1:9" x14ac:dyDescent="0.25">
      <c r="A50" s="26"/>
      <c r="B50" s="26"/>
      <c r="C50" s="26"/>
      <c r="D50" s="26"/>
      <c r="E50" s="26"/>
      <c r="F50" s="26"/>
      <c r="G50" s="26"/>
      <c r="H50" s="26"/>
      <c r="I50" s="26"/>
    </row>
    <row r="51" spans="1:9" x14ac:dyDescent="0.25">
      <c r="A51" s="26"/>
      <c r="B51" s="26"/>
      <c r="C51" s="26"/>
      <c r="D51" s="26"/>
      <c r="E51" s="26"/>
      <c r="F51" s="26"/>
      <c r="G51" s="26"/>
      <c r="H51" s="26"/>
      <c r="I51" s="26"/>
    </row>
    <row r="52" spans="1:9" x14ac:dyDescent="0.25">
      <c r="A52" s="26"/>
      <c r="B52" s="26"/>
      <c r="C52" s="26"/>
      <c r="D52" s="26"/>
      <c r="E52" s="26"/>
      <c r="F52" s="26"/>
      <c r="G52" s="26"/>
      <c r="H52" s="26"/>
      <c r="I52" s="26"/>
    </row>
    <row r="53" spans="1:9" x14ac:dyDescent="0.25">
      <c r="A53" s="26"/>
      <c r="B53" s="26"/>
      <c r="C53" s="26"/>
      <c r="D53" s="26"/>
      <c r="E53" s="26"/>
      <c r="F53" s="26"/>
      <c r="G53" s="26"/>
      <c r="H53" s="26"/>
      <c r="I53" s="26"/>
    </row>
    <row r="54" spans="1:9" x14ac:dyDescent="0.25">
      <c r="A54" s="26"/>
      <c r="B54" s="26"/>
      <c r="C54" s="26"/>
      <c r="D54" s="26"/>
      <c r="E54" s="26"/>
      <c r="F54" s="26"/>
      <c r="G54" s="26"/>
      <c r="H54" s="26"/>
      <c r="I54" s="26"/>
    </row>
    <row r="55" spans="1:9" x14ac:dyDescent="0.25">
      <c r="A55" s="26"/>
      <c r="B55" s="26"/>
      <c r="C55" s="26"/>
      <c r="D55" s="26"/>
      <c r="E55" s="26"/>
      <c r="F55" s="26"/>
      <c r="G55" s="26"/>
      <c r="H55" s="26"/>
      <c r="I55" s="26"/>
    </row>
    <row r="56" spans="1:9" x14ac:dyDescent="0.25">
      <c r="A56" s="26"/>
      <c r="B56" s="26"/>
      <c r="C56" s="26"/>
      <c r="D56" s="26"/>
      <c r="E56" s="26"/>
      <c r="F56" s="26"/>
      <c r="G56" s="26"/>
      <c r="H56" s="26"/>
      <c r="I56" s="26"/>
    </row>
    <row r="57" spans="1:9" x14ac:dyDescent="0.25">
      <c r="A57" s="26"/>
      <c r="B57" s="26"/>
      <c r="C57" s="26"/>
      <c r="D57" s="26"/>
      <c r="E57" s="26"/>
      <c r="F57" s="26"/>
      <c r="G57" s="26"/>
      <c r="H57" s="26"/>
      <c r="I57" s="26"/>
    </row>
    <row r="58" spans="1:9" x14ac:dyDescent="0.25">
      <c r="A58" s="26"/>
      <c r="B58" s="26"/>
      <c r="C58" s="26"/>
      <c r="D58" s="26"/>
      <c r="E58" s="26"/>
      <c r="F58" s="26"/>
      <c r="G58" s="26"/>
      <c r="H58" s="26"/>
      <c r="I58" s="26"/>
    </row>
    <row r="59" spans="1:9" x14ac:dyDescent="0.25">
      <c r="A59" s="26"/>
      <c r="B59" s="26"/>
      <c r="C59" s="26"/>
      <c r="D59" s="26"/>
      <c r="E59" s="26"/>
      <c r="F59" s="26"/>
      <c r="G59" s="26"/>
      <c r="H59" s="26"/>
      <c r="I59" s="26"/>
    </row>
    <row r="60" spans="1:9" x14ac:dyDescent="0.25">
      <c r="A60" s="26"/>
      <c r="B60" s="26"/>
      <c r="C60" s="26"/>
      <c r="D60" s="26"/>
      <c r="E60" s="26"/>
      <c r="F60" s="26"/>
      <c r="G60" s="26"/>
      <c r="H60" s="26"/>
      <c r="I60" s="26"/>
    </row>
    <row r="61" spans="1:9" x14ac:dyDescent="0.25">
      <c r="A61" s="26"/>
      <c r="B61" s="26"/>
      <c r="C61" s="26"/>
      <c r="D61" s="26"/>
      <c r="E61" s="26"/>
      <c r="F61" s="26"/>
      <c r="G61" s="26"/>
      <c r="H61" s="26"/>
      <c r="I61" s="26"/>
    </row>
    <row r="62" spans="1:9" x14ac:dyDescent="0.25">
      <c r="A62" s="26"/>
      <c r="B62" s="26"/>
      <c r="C62" s="26"/>
      <c r="D62" s="26"/>
      <c r="E62" s="26"/>
      <c r="F62" s="26"/>
      <c r="G62" s="26"/>
      <c r="H62" s="26"/>
      <c r="I62" s="26"/>
    </row>
    <row r="63" spans="1:9" x14ac:dyDescent="0.25">
      <c r="A63" s="26"/>
      <c r="B63" s="26"/>
      <c r="C63" s="26"/>
      <c r="D63" s="26"/>
      <c r="E63" s="26"/>
      <c r="F63" s="26"/>
      <c r="G63" s="26"/>
      <c r="H63" s="26"/>
      <c r="I63" s="26"/>
    </row>
    <row r="64" spans="1:9" x14ac:dyDescent="0.25">
      <c r="A64" s="26"/>
      <c r="B64" s="26"/>
      <c r="C64" s="26"/>
      <c r="D64" s="26"/>
      <c r="E64" s="26"/>
      <c r="F64" s="26"/>
      <c r="G64" s="26"/>
      <c r="H64" s="26"/>
      <c r="I64" s="26"/>
    </row>
    <row r="65" spans="1:9" x14ac:dyDescent="0.25">
      <c r="A65" s="26"/>
      <c r="B65" s="26"/>
      <c r="C65" s="26"/>
      <c r="D65" s="26"/>
      <c r="E65" s="26"/>
      <c r="F65" s="26"/>
      <c r="G65" s="26"/>
      <c r="H65" s="26"/>
      <c r="I65" s="26"/>
    </row>
    <row r="66" spans="1:9" x14ac:dyDescent="0.25">
      <c r="A66" s="26"/>
      <c r="B66" s="26"/>
      <c r="C66" s="26"/>
      <c r="D66" s="26"/>
      <c r="E66" s="26"/>
      <c r="F66" s="26"/>
      <c r="G66" s="26"/>
      <c r="H66" s="26"/>
      <c r="I66" s="26"/>
    </row>
    <row r="67" spans="1:9" x14ac:dyDescent="0.25">
      <c r="A67" s="26"/>
      <c r="B67" s="26"/>
      <c r="C67" s="26"/>
      <c r="D67" s="26"/>
      <c r="E67" s="26"/>
      <c r="F67" s="26"/>
      <c r="G67" s="26"/>
      <c r="H67" s="26"/>
      <c r="I67" s="26"/>
    </row>
    <row r="68" spans="1:9" x14ac:dyDescent="0.25">
      <c r="A68" s="26"/>
      <c r="B68" s="26"/>
      <c r="C68" s="26"/>
      <c r="D68" s="26"/>
      <c r="E68" s="26"/>
      <c r="F68" s="26"/>
      <c r="G68" s="26"/>
      <c r="H68" s="26"/>
      <c r="I68" s="26"/>
    </row>
    <row r="69" spans="1:9" x14ac:dyDescent="0.25">
      <c r="A69" s="26"/>
      <c r="B69" s="26"/>
      <c r="C69" s="26"/>
      <c r="D69" s="26"/>
      <c r="E69" s="26"/>
      <c r="F69" s="26"/>
      <c r="G69" s="26"/>
      <c r="H69" s="26"/>
      <c r="I69" s="26"/>
    </row>
    <row r="70" spans="1:9" x14ac:dyDescent="0.25">
      <c r="A70" s="26"/>
      <c r="B70" s="26"/>
      <c r="C70" s="26"/>
      <c r="D70" s="26"/>
      <c r="E70" s="26"/>
      <c r="F70" s="26"/>
      <c r="G70" s="26"/>
      <c r="H70" s="26"/>
      <c r="I70" s="26"/>
    </row>
    <row r="71" spans="1:9" x14ac:dyDescent="0.25">
      <c r="A71" s="26"/>
      <c r="B71" s="26"/>
      <c r="C71" s="26"/>
      <c r="D71" s="26"/>
      <c r="E71" s="26"/>
      <c r="F71" s="26"/>
      <c r="G71" s="26"/>
      <c r="H71" s="26"/>
      <c r="I71" s="26"/>
    </row>
    <row r="72" spans="1:9" x14ac:dyDescent="0.25">
      <c r="A72" s="26"/>
      <c r="B72" s="26"/>
      <c r="C72" s="26"/>
      <c r="D72" s="26"/>
      <c r="E72" s="26"/>
      <c r="F72" s="26"/>
      <c r="G72" s="26"/>
      <c r="H72" s="26"/>
      <c r="I72" s="26"/>
    </row>
    <row r="73" spans="1:9" x14ac:dyDescent="0.25">
      <c r="A73" s="26"/>
      <c r="B73" s="26"/>
      <c r="C73" s="26"/>
      <c r="D73" s="26"/>
      <c r="E73" s="26"/>
      <c r="F73" s="26"/>
      <c r="G73" s="26"/>
      <c r="H73" s="26"/>
      <c r="I73" s="26"/>
    </row>
    <row r="74" spans="1:9" x14ac:dyDescent="0.25">
      <c r="A74" s="26"/>
      <c r="B74" s="26"/>
      <c r="C74" s="26"/>
      <c r="D74" s="26"/>
      <c r="E74" s="26"/>
      <c r="F74" s="26"/>
      <c r="G74" s="26"/>
      <c r="H74" s="26"/>
      <c r="I74" s="26"/>
    </row>
    <row r="75" spans="1:9" x14ac:dyDescent="0.25">
      <c r="A75" s="26"/>
      <c r="B75" s="26"/>
      <c r="C75" s="26"/>
      <c r="D75" s="26"/>
      <c r="E75" s="26"/>
      <c r="F75" s="26"/>
      <c r="G75" s="26"/>
      <c r="H75" s="26"/>
      <c r="I75" s="26"/>
    </row>
    <row r="76" spans="1:9" x14ac:dyDescent="0.25">
      <c r="A76" s="26"/>
      <c r="B76" s="26"/>
      <c r="C76" s="26"/>
      <c r="D76" s="26"/>
      <c r="E76" s="26"/>
      <c r="F76" s="26"/>
      <c r="G76" s="26"/>
      <c r="H76" s="26"/>
      <c r="I76" s="26"/>
    </row>
    <row r="77" spans="1:9" x14ac:dyDescent="0.25">
      <c r="A77" s="26"/>
      <c r="B77" s="26"/>
      <c r="C77" s="26"/>
      <c r="D77" s="26"/>
      <c r="E77" s="26"/>
      <c r="F77" s="26"/>
      <c r="G77" s="26"/>
      <c r="H77" s="26"/>
      <c r="I77" s="26"/>
    </row>
    <row r="78" spans="1:9" x14ac:dyDescent="0.25">
      <c r="A78" s="26"/>
      <c r="B78" s="26"/>
      <c r="C78" s="26"/>
      <c r="D78" s="26"/>
      <c r="E78" s="26"/>
      <c r="F78" s="26"/>
      <c r="G78" s="26"/>
      <c r="H78" s="26"/>
      <c r="I78" s="26"/>
    </row>
    <row r="79" spans="1:9" x14ac:dyDescent="0.25">
      <c r="A79" s="26"/>
      <c r="B79" s="26"/>
      <c r="C79" s="26"/>
      <c r="D79" s="26"/>
      <c r="E79" s="26"/>
      <c r="F79" s="26"/>
      <c r="G79" s="26"/>
      <c r="H79" s="26"/>
      <c r="I79" s="26"/>
    </row>
    <row r="80" spans="1:9" x14ac:dyDescent="0.25">
      <c r="A80" s="26"/>
      <c r="B80" s="26"/>
      <c r="C80" s="26"/>
      <c r="D80" s="26"/>
      <c r="E80" s="26"/>
      <c r="F80" s="26"/>
      <c r="G80" s="26"/>
      <c r="H80" s="26"/>
      <c r="I80" s="26"/>
    </row>
    <row r="81" spans="1:9" x14ac:dyDescent="0.25">
      <c r="A81" s="26"/>
      <c r="B81" s="26"/>
      <c r="C81" s="26"/>
      <c r="D81" s="26"/>
      <c r="E81" s="26"/>
      <c r="F81" s="26"/>
      <c r="G81" s="26"/>
      <c r="H81" s="26"/>
      <c r="I81" s="26"/>
    </row>
    <row r="82" spans="1:9" x14ac:dyDescent="0.25">
      <c r="A82" s="26"/>
      <c r="B82" s="26"/>
      <c r="C82" s="26"/>
      <c r="D82" s="26"/>
      <c r="E82" s="26"/>
      <c r="F82" s="26"/>
      <c r="G82" s="26"/>
      <c r="H82" s="26"/>
      <c r="I82" s="26"/>
    </row>
    <row r="83" spans="1:9" x14ac:dyDescent="0.25">
      <c r="A83" s="26"/>
      <c r="B83" s="26"/>
      <c r="C83" s="26"/>
      <c r="D83" s="26"/>
      <c r="E83" s="26"/>
      <c r="F83" s="26"/>
      <c r="G83" s="26"/>
      <c r="H83" s="26"/>
      <c r="I83" s="26"/>
    </row>
    <row r="84" spans="1:9" x14ac:dyDescent="0.25">
      <c r="A84" s="26"/>
      <c r="B84" s="26"/>
      <c r="C84" s="26"/>
      <c r="D84" s="26"/>
      <c r="E84" s="26"/>
      <c r="F84" s="26"/>
      <c r="G84" s="26"/>
      <c r="H84" s="26"/>
      <c r="I84" s="26"/>
    </row>
    <row r="85" spans="1:9" x14ac:dyDescent="0.25">
      <c r="A85" s="26"/>
      <c r="B85" s="26"/>
      <c r="C85" s="26"/>
      <c r="D85" s="26"/>
      <c r="E85" s="26"/>
      <c r="F85" s="26"/>
      <c r="G85" s="26"/>
      <c r="H85" s="26"/>
      <c r="I85" s="26"/>
    </row>
    <row r="86" spans="1:9" x14ac:dyDescent="0.25">
      <c r="A86" s="26"/>
      <c r="B86" s="26"/>
      <c r="C86" s="26"/>
      <c r="D86" s="26"/>
      <c r="E86" s="26"/>
      <c r="F86" s="26"/>
      <c r="G86" s="26"/>
      <c r="H86" s="26"/>
      <c r="I86" s="26"/>
    </row>
    <row r="87" spans="1:9" x14ac:dyDescent="0.25">
      <c r="A87" s="26"/>
      <c r="B87" s="26"/>
      <c r="C87" s="26"/>
      <c r="D87" s="26"/>
      <c r="E87" s="26"/>
      <c r="F87" s="26"/>
      <c r="G87" s="26"/>
      <c r="H87" s="26"/>
      <c r="I87" s="26"/>
    </row>
    <row r="88" spans="1:9" x14ac:dyDescent="0.25">
      <c r="A88" s="26"/>
      <c r="B88" s="26"/>
      <c r="C88" s="26"/>
      <c r="D88" s="26"/>
      <c r="E88" s="26"/>
      <c r="F88" s="26"/>
      <c r="G88" s="26"/>
      <c r="H88" s="26"/>
      <c r="I88" s="26"/>
    </row>
    <row r="89" spans="1:9" x14ac:dyDescent="0.25">
      <c r="A89" s="26"/>
      <c r="B89" s="26"/>
      <c r="C89" s="26"/>
      <c r="D89" s="26"/>
      <c r="E89" s="26"/>
      <c r="F89" s="26"/>
      <c r="G89" s="26"/>
      <c r="H89" s="26"/>
      <c r="I89" s="26"/>
    </row>
    <row r="90" spans="1:9" x14ac:dyDescent="0.25">
      <c r="A90" s="26"/>
      <c r="B90" s="26"/>
      <c r="C90" s="26"/>
      <c r="D90" s="26"/>
      <c r="E90" s="26"/>
      <c r="F90" s="26"/>
      <c r="G90" s="26"/>
      <c r="H90" s="26"/>
      <c r="I90" s="26"/>
    </row>
    <row r="91" spans="1:9" x14ac:dyDescent="0.25">
      <c r="A91" s="26"/>
      <c r="B91" s="26"/>
      <c r="C91" s="26"/>
      <c r="D91" s="26"/>
      <c r="E91" s="26"/>
      <c r="F91" s="26"/>
      <c r="G91" s="26"/>
      <c r="H91" s="26"/>
      <c r="I91" s="26"/>
    </row>
    <row r="92" spans="1:9" x14ac:dyDescent="0.25">
      <c r="A92" s="26"/>
      <c r="B92" s="26"/>
      <c r="C92" s="26"/>
      <c r="D92" s="26"/>
      <c r="E92" s="26"/>
      <c r="F92" s="26"/>
      <c r="G92" s="26"/>
      <c r="H92" s="26"/>
      <c r="I92" s="26"/>
    </row>
    <row r="93" spans="1:9" x14ac:dyDescent="0.25">
      <c r="A93" s="26"/>
      <c r="B93" s="26"/>
      <c r="C93" s="26"/>
      <c r="D93" s="26"/>
      <c r="E93" s="26"/>
      <c r="F93" s="26"/>
      <c r="G93" s="26"/>
      <c r="H93" s="26"/>
      <c r="I93" s="26"/>
    </row>
    <row r="94" spans="1:9" x14ac:dyDescent="0.25">
      <c r="A94" s="26"/>
      <c r="B94" s="26"/>
      <c r="C94" s="26"/>
      <c r="D94" s="26"/>
      <c r="E94" s="26"/>
      <c r="F94" s="26"/>
      <c r="G94" s="26"/>
      <c r="H94" s="26"/>
      <c r="I94" s="26"/>
    </row>
    <row r="95" spans="1:9" x14ac:dyDescent="0.25">
      <c r="A95" s="26"/>
      <c r="B95" s="26"/>
      <c r="C95" s="26"/>
      <c r="D95" s="26"/>
      <c r="E95" s="26"/>
      <c r="F95" s="26"/>
      <c r="G95" s="26"/>
      <c r="H95" s="26"/>
      <c r="I95" s="26"/>
    </row>
    <row r="96" spans="1:9" x14ac:dyDescent="0.25">
      <c r="A96" s="26"/>
      <c r="B96" s="26"/>
      <c r="C96" s="26"/>
      <c r="D96" s="26"/>
      <c r="E96" s="26"/>
      <c r="F96" s="26"/>
      <c r="G96" s="26"/>
      <c r="H96" s="26"/>
      <c r="I96" s="26"/>
    </row>
    <row r="97" spans="1:9" x14ac:dyDescent="0.25">
      <c r="A97" s="26"/>
      <c r="B97" s="26"/>
      <c r="C97" s="26"/>
      <c r="D97" s="26"/>
      <c r="E97" s="26"/>
      <c r="F97" s="26"/>
      <c r="G97" s="26"/>
      <c r="H97" s="26"/>
      <c r="I97" s="26"/>
    </row>
    <row r="98" spans="1:9" x14ac:dyDescent="0.25">
      <c r="A98" s="26"/>
      <c r="B98" s="26"/>
      <c r="C98" s="26"/>
      <c r="D98" s="26"/>
      <c r="E98" s="26"/>
      <c r="F98" s="26"/>
      <c r="G98" s="26"/>
      <c r="H98" s="26"/>
      <c r="I98" s="26"/>
    </row>
    <row r="99" spans="1:9" x14ac:dyDescent="0.25">
      <c r="A99" s="26"/>
      <c r="B99" s="26"/>
      <c r="C99" s="26"/>
      <c r="D99" s="26"/>
      <c r="E99" s="26"/>
      <c r="F99" s="26"/>
      <c r="G99" s="26"/>
      <c r="H99" s="26"/>
      <c r="I99" s="26"/>
    </row>
    <row r="100" spans="1:9" x14ac:dyDescent="0.25">
      <c r="A100" s="26"/>
      <c r="B100" s="26"/>
      <c r="C100" s="26"/>
      <c r="D100" s="26"/>
      <c r="E100" s="26"/>
      <c r="F100" s="26"/>
      <c r="G100" s="26"/>
      <c r="H100" s="26"/>
      <c r="I100" s="26"/>
    </row>
    <row r="101" spans="1:9" x14ac:dyDescent="0.25">
      <c r="A101" s="26"/>
      <c r="B101" s="26"/>
      <c r="C101" s="26"/>
      <c r="D101" s="26"/>
      <c r="E101" s="26"/>
      <c r="F101" s="26"/>
      <c r="G101" s="26"/>
      <c r="H101" s="26"/>
      <c r="I101" s="26"/>
    </row>
    <row r="102" spans="1:9" x14ac:dyDescent="0.25">
      <c r="A102" s="26"/>
      <c r="B102" s="26"/>
      <c r="C102" s="26"/>
      <c r="D102" s="26"/>
      <c r="E102" s="26"/>
      <c r="F102" s="26"/>
      <c r="G102" s="26"/>
      <c r="H102" s="26"/>
      <c r="I102" s="26"/>
    </row>
    <row r="103" spans="1:9" x14ac:dyDescent="0.25">
      <c r="A103" s="26"/>
      <c r="B103" s="26"/>
      <c r="C103" s="26"/>
      <c r="D103" s="26"/>
      <c r="E103" s="26"/>
      <c r="F103" s="26"/>
      <c r="G103" s="26"/>
      <c r="H103" s="26"/>
      <c r="I103" s="26"/>
    </row>
    <row r="104" spans="1:9" x14ac:dyDescent="0.25">
      <c r="A104" s="26"/>
      <c r="B104" s="26"/>
      <c r="C104" s="26"/>
      <c r="D104" s="26"/>
      <c r="E104" s="26"/>
      <c r="F104" s="26"/>
      <c r="G104" s="26"/>
      <c r="H104" s="26"/>
      <c r="I104" s="26"/>
    </row>
    <row r="105" spans="1:9" x14ac:dyDescent="0.25">
      <c r="A105" s="26"/>
      <c r="B105" s="26"/>
      <c r="C105" s="26"/>
      <c r="D105" s="26"/>
      <c r="E105" s="26"/>
      <c r="F105" s="26"/>
      <c r="G105" s="26"/>
      <c r="H105" s="26"/>
      <c r="I105" s="26"/>
    </row>
    <row r="106" spans="1:9" x14ac:dyDescent="0.25">
      <c r="A106" s="26"/>
      <c r="B106" s="26"/>
      <c r="C106" s="26"/>
      <c r="D106" s="26"/>
      <c r="E106" s="26"/>
      <c r="F106" s="26"/>
      <c r="G106" s="26"/>
      <c r="H106" s="26"/>
      <c r="I106" s="26"/>
    </row>
    <row r="107" spans="1:9" x14ac:dyDescent="0.25">
      <c r="A107" s="26"/>
      <c r="B107" s="26"/>
      <c r="C107" s="26"/>
      <c r="D107" s="26"/>
      <c r="E107" s="26"/>
      <c r="F107" s="26"/>
      <c r="G107" s="26"/>
      <c r="H107" s="26"/>
      <c r="I107" s="26"/>
    </row>
    <row r="108" spans="1:9" x14ac:dyDescent="0.25">
      <c r="A108" s="26"/>
      <c r="B108" s="26"/>
      <c r="C108" s="26"/>
      <c r="D108" s="26"/>
      <c r="E108" s="26"/>
      <c r="F108" s="26"/>
      <c r="G108" s="26"/>
      <c r="H108" s="26"/>
      <c r="I108" s="26"/>
    </row>
    <row r="109" spans="1:9" x14ac:dyDescent="0.25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x14ac:dyDescent="0.25">
      <c r="A110" s="26"/>
      <c r="B110" s="26"/>
      <c r="C110" s="26"/>
      <c r="D110" s="26"/>
      <c r="E110" s="26"/>
      <c r="F110" s="26"/>
      <c r="G110" s="26"/>
      <c r="H110" s="26"/>
      <c r="I110" s="26"/>
    </row>
    <row r="111" spans="1:9" x14ac:dyDescent="0.25">
      <c r="A111" s="26"/>
      <c r="B111" s="26"/>
      <c r="C111" s="26"/>
      <c r="D111" s="26"/>
      <c r="E111" s="26"/>
      <c r="F111" s="26"/>
      <c r="G111" s="26"/>
      <c r="H111" s="26"/>
      <c r="I111" s="26"/>
    </row>
    <row r="112" spans="1:9" x14ac:dyDescent="0.25">
      <c r="A112" s="26"/>
      <c r="B112" s="26"/>
      <c r="C112" s="26"/>
      <c r="D112" s="26"/>
      <c r="E112" s="26"/>
      <c r="F112" s="26"/>
      <c r="G112" s="26"/>
      <c r="H112" s="26"/>
      <c r="I112" s="26"/>
    </row>
    <row r="113" spans="1:9" x14ac:dyDescent="0.25">
      <c r="A113" s="26"/>
      <c r="B113" s="26"/>
      <c r="C113" s="26"/>
      <c r="D113" s="26"/>
      <c r="E113" s="26"/>
      <c r="F113" s="26"/>
      <c r="G113" s="26"/>
      <c r="H113" s="26"/>
      <c r="I113" s="26"/>
    </row>
    <row r="114" spans="1:9" x14ac:dyDescent="0.25">
      <c r="A114" s="26"/>
      <c r="B114" s="26"/>
      <c r="C114" s="26"/>
      <c r="D114" s="26"/>
      <c r="E114" s="26"/>
      <c r="F114" s="26"/>
      <c r="G114" s="26"/>
      <c r="H114" s="26"/>
      <c r="I114" s="26"/>
    </row>
    <row r="115" spans="1:9" x14ac:dyDescent="0.25">
      <c r="A115" s="26"/>
      <c r="B115" s="26"/>
      <c r="C115" s="26"/>
      <c r="D115" s="26"/>
      <c r="E115" s="26"/>
      <c r="F115" s="26"/>
      <c r="G115" s="26"/>
      <c r="H115" s="26"/>
      <c r="I115" s="26"/>
    </row>
    <row r="116" spans="1:9" x14ac:dyDescent="0.25">
      <c r="A116" s="26"/>
      <c r="B116" s="26"/>
      <c r="C116" s="26"/>
      <c r="D116" s="26"/>
      <c r="E116" s="26"/>
      <c r="F116" s="26"/>
      <c r="G116" s="26"/>
      <c r="H116" s="26"/>
      <c r="I116" s="26"/>
    </row>
    <row r="117" spans="1:9" x14ac:dyDescent="0.25">
      <c r="A117" s="26"/>
      <c r="B117" s="26"/>
      <c r="C117" s="26"/>
      <c r="D117" s="26"/>
      <c r="E117" s="26"/>
      <c r="F117" s="26"/>
      <c r="G117" s="26"/>
      <c r="H117" s="26"/>
      <c r="I117" s="26"/>
    </row>
    <row r="118" spans="1:9" x14ac:dyDescent="0.25">
      <c r="A118" s="26"/>
      <c r="B118" s="26"/>
      <c r="C118" s="26"/>
      <c r="D118" s="26"/>
      <c r="E118" s="26"/>
      <c r="F118" s="26"/>
      <c r="G118" s="26"/>
      <c r="H118" s="26"/>
      <c r="I118" s="26"/>
    </row>
    <row r="119" spans="1:9" x14ac:dyDescent="0.25">
      <c r="A119" s="26"/>
      <c r="B119" s="26"/>
      <c r="C119" s="26"/>
      <c r="D119" s="26"/>
      <c r="E119" s="26"/>
      <c r="F119" s="26"/>
      <c r="G119" s="26"/>
      <c r="H119" s="26"/>
      <c r="I119" s="26"/>
    </row>
    <row r="120" spans="1:9" x14ac:dyDescent="0.25">
      <c r="A120" s="26"/>
      <c r="B120" s="26"/>
      <c r="C120" s="26"/>
      <c r="D120" s="26"/>
      <c r="E120" s="26"/>
      <c r="F120" s="26"/>
      <c r="G120" s="26"/>
      <c r="H120" s="26"/>
      <c r="I120" s="26"/>
    </row>
    <row r="121" spans="1:9" x14ac:dyDescent="0.25">
      <c r="A121" s="26"/>
      <c r="B121" s="26"/>
      <c r="C121" s="26"/>
      <c r="D121" s="26"/>
      <c r="E121" s="26"/>
      <c r="F121" s="26"/>
      <c r="G121" s="26"/>
      <c r="H121" s="26"/>
      <c r="I121" s="26"/>
    </row>
    <row r="122" spans="1:9" x14ac:dyDescent="0.25">
      <c r="A122" s="26"/>
      <c r="B122" s="26"/>
      <c r="C122" s="26"/>
      <c r="D122" s="26"/>
      <c r="E122" s="26"/>
      <c r="F122" s="26"/>
      <c r="G122" s="26"/>
      <c r="H122" s="26"/>
      <c r="I122" s="26"/>
    </row>
    <row r="123" spans="1:9" x14ac:dyDescent="0.25">
      <c r="A123" s="26"/>
      <c r="B123" s="26"/>
      <c r="C123" s="26"/>
      <c r="D123" s="26"/>
      <c r="E123" s="26"/>
      <c r="F123" s="26"/>
      <c r="G123" s="26"/>
      <c r="H123" s="26"/>
      <c r="I123" s="26"/>
    </row>
    <row r="124" spans="1:9" x14ac:dyDescent="0.25">
      <c r="A124" s="26"/>
      <c r="B124" s="26"/>
      <c r="C124" s="26"/>
      <c r="D124" s="26"/>
      <c r="E124" s="26"/>
      <c r="F124" s="26"/>
      <c r="G124" s="26"/>
      <c r="H124" s="26"/>
      <c r="I124" s="26"/>
    </row>
    <row r="125" spans="1:9" x14ac:dyDescent="0.25">
      <c r="A125" s="26"/>
      <c r="B125" s="26"/>
      <c r="C125" s="26"/>
      <c r="D125" s="26"/>
      <c r="E125" s="26"/>
      <c r="F125" s="26"/>
      <c r="G125" s="26"/>
      <c r="H125" s="26"/>
      <c r="I125" s="26"/>
    </row>
    <row r="126" spans="1:9" x14ac:dyDescent="0.25">
      <c r="A126" s="26"/>
      <c r="B126" s="26"/>
      <c r="C126" s="26"/>
      <c r="D126" s="26"/>
      <c r="E126" s="26"/>
      <c r="F126" s="26"/>
      <c r="G126" s="26"/>
      <c r="H126" s="26"/>
      <c r="I126" s="26"/>
    </row>
    <row r="127" spans="1:9" x14ac:dyDescent="0.25">
      <c r="A127" s="26"/>
      <c r="B127" s="26"/>
      <c r="C127" s="26"/>
      <c r="D127" s="26"/>
      <c r="E127" s="26"/>
      <c r="F127" s="26"/>
      <c r="G127" s="26"/>
      <c r="H127" s="26"/>
      <c r="I127" s="26"/>
    </row>
    <row r="128" spans="1:9" x14ac:dyDescent="0.25">
      <c r="A128" s="26"/>
      <c r="B128" s="26"/>
      <c r="C128" s="26"/>
      <c r="D128" s="26"/>
      <c r="E128" s="26"/>
      <c r="F128" s="26"/>
      <c r="G128" s="26"/>
      <c r="H128" s="26"/>
      <c r="I128" s="26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BB8E-EB67-4927-B7AF-90A76D1725A0}">
  <dimension ref="A1:N536"/>
  <sheetViews>
    <sheetView tabSelected="1" topLeftCell="F1" workbookViewId="0">
      <selection activeCell="C1" sqref="C1:E1048576"/>
    </sheetView>
  </sheetViews>
  <sheetFormatPr defaultRowHeight="15" x14ac:dyDescent="0.25"/>
  <cols>
    <col min="1" max="1" width="9.7109375" customWidth="1"/>
    <col min="2" max="2" width="17.7109375" style="2" customWidth="1"/>
    <col min="3" max="4" width="17.7109375" style="2" hidden="1" customWidth="1"/>
    <col min="5" max="5" width="24.42578125" style="2" hidden="1" customWidth="1"/>
    <col min="6" max="6" width="18" style="2" bestFit="1" customWidth="1"/>
    <col min="7" max="7" width="31.140625" bestFit="1" customWidth="1"/>
    <col min="8" max="8" width="18.7109375" style="2" bestFit="1" customWidth="1"/>
    <col min="9" max="9" width="12" bestFit="1" customWidth="1"/>
    <col min="10" max="10" width="21.140625" style="2" customWidth="1"/>
    <col min="11" max="11" width="25.28515625" style="1" customWidth="1"/>
    <col min="12" max="12" width="19.42578125" customWidth="1"/>
    <col min="13" max="13" width="21.28515625" customWidth="1"/>
    <col min="14" max="14" width="19.42578125" customWidth="1"/>
  </cols>
  <sheetData>
    <row r="1" spans="1:14" s="17" customFormat="1" x14ac:dyDescent="0.25">
      <c r="B1" s="18">
        <v>30</v>
      </c>
      <c r="C1" s="18"/>
      <c r="D1" s="18"/>
      <c r="E1" s="18"/>
      <c r="F1" s="18"/>
      <c r="H1" s="18"/>
      <c r="I1" s="19">
        <f ca="1">TODAY()</f>
        <v>46120</v>
      </c>
      <c r="J1" s="18"/>
      <c r="K1" s="20">
        <f>SUM(K3:K536)</f>
        <v>547768</v>
      </c>
      <c r="L1" s="21">
        <f>SUM(L3:L536)</f>
        <v>107726.60000000027</v>
      </c>
      <c r="M1" s="21">
        <f>SUM(Tabela2[R$ Parcelado Receber])</f>
        <v>183499.3999999995</v>
      </c>
      <c r="N1" s="21">
        <f>SUM(N3:N536)</f>
        <v>256542</v>
      </c>
    </row>
    <row r="2" spans="1:14" x14ac:dyDescent="0.25">
      <c r="A2" s="3" t="s">
        <v>0</v>
      </c>
      <c r="B2" s="4" t="s">
        <v>1191</v>
      </c>
      <c r="C2" s="4" t="s">
        <v>1192</v>
      </c>
      <c r="D2" s="4" t="s">
        <v>1193</v>
      </c>
      <c r="E2" s="4" t="s">
        <v>1196</v>
      </c>
      <c r="F2" s="4" t="s">
        <v>1185</v>
      </c>
      <c r="G2" s="3" t="s">
        <v>1</v>
      </c>
      <c r="H2" s="4" t="s">
        <v>2</v>
      </c>
      <c r="I2" s="3" t="s">
        <v>3</v>
      </c>
      <c r="J2" s="4" t="s">
        <v>4</v>
      </c>
      <c r="K2" s="14" t="s">
        <v>1190</v>
      </c>
      <c r="L2" s="5" t="s">
        <v>1194</v>
      </c>
      <c r="M2" t="s">
        <v>1204</v>
      </c>
      <c r="N2" s="5" t="s">
        <v>1195</v>
      </c>
    </row>
    <row r="3" spans="1:14" x14ac:dyDescent="0.25">
      <c r="A3" s="6" t="s">
        <v>5</v>
      </c>
      <c r="B3" s="7">
        <f t="shared" ref="B3:B34" ca="1" si="0">$I$1-I3</f>
        <v>132</v>
      </c>
      <c r="C3" s="7"/>
      <c r="D3" s="7"/>
      <c r="E3" s="7"/>
      <c r="F3" s="7" t="s">
        <v>1183</v>
      </c>
      <c r="G3" s="6" t="s">
        <v>7</v>
      </c>
      <c r="H3" s="7" t="s">
        <v>13</v>
      </c>
      <c r="I3" s="8" t="s">
        <v>8</v>
      </c>
      <c r="J3" s="9">
        <v>2244</v>
      </c>
      <c r="K3" s="15">
        <v>598</v>
      </c>
      <c r="L3" s="6"/>
      <c r="M3" s="31"/>
      <c r="N3" s="11">
        <f>K3</f>
        <v>598</v>
      </c>
    </row>
    <row r="4" spans="1:14" x14ac:dyDescent="0.25">
      <c r="A4" s="6" t="s">
        <v>9</v>
      </c>
      <c r="B4" s="7">
        <f t="shared" ca="1" si="0"/>
        <v>131</v>
      </c>
      <c r="C4" s="12">
        <v>4</v>
      </c>
      <c r="D4" s="10">
        <v>49.9</v>
      </c>
      <c r="E4" s="10">
        <f>D4*C4</f>
        <v>199.6</v>
      </c>
      <c r="F4" s="7" t="s">
        <v>1183</v>
      </c>
      <c r="G4" s="6" t="s">
        <v>11</v>
      </c>
      <c r="H4" s="7" t="s">
        <v>1197</v>
      </c>
      <c r="I4" s="8" t="s">
        <v>6</v>
      </c>
      <c r="J4" s="9">
        <v>2040</v>
      </c>
      <c r="K4" s="15">
        <v>598</v>
      </c>
      <c r="L4" s="11">
        <f>E4</f>
        <v>199.6</v>
      </c>
      <c r="M4" s="31">
        <f>Tabela2[[#This Row],[R$TOTAL FÉRIAS FACIL ]]-Tabela2[[#This Row],[R$ PARCELADO]]</f>
        <v>398.4</v>
      </c>
      <c r="N4" s="6"/>
    </row>
    <row r="5" spans="1:14" x14ac:dyDescent="0.25">
      <c r="A5" s="6" t="s">
        <v>14</v>
      </c>
      <c r="B5" s="7">
        <f t="shared" ca="1" si="0"/>
        <v>117</v>
      </c>
      <c r="C5" s="7"/>
      <c r="D5" s="7"/>
      <c r="E5" s="7"/>
      <c r="F5" s="7" t="s">
        <v>1183</v>
      </c>
      <c r="G5" s="6" t="s">
        <v>16</v>
      </c>
      <c r="H5" s="7" t="s">
        <v>13</v>
      </c>
      <c r="I5" s="8" t="s">
        <v>15</v>
      </c>
      <c r="J5" s="9">
        <v>2244</v>
      </c>
      <c r="K5" s="15">
        <v>598</v>
      </c>
      <c r="L5" s="6"/>
      <c r="M5" s="31"/>
      <c r="N5" s="11">
        <f>K5</f>
        <v>598</v>
      </c>
    </row>
    <row r="6" spans="1:14" x14ac:dyDescent="0.25">
      <c r="A6" s="6" t="s">
        <v>17</v>
      </c>
      <c r="B6" s="7">
        <f t="shared" ca="1" si="0"/>
        <v>98</v>
      </c>
      <c r="C6" s="7">
        <v>3</v>
      </c>
      <c r="D6" s="10">
        <v>49.9</v>
      </c>
      <c r="E6" s="10">
        <f>D6*C6</f>
        <v>149.69999999999999</v>
      </c>
      <c r="F6" s="7" t="s">
        <v>1183</v>
      </c>
      <c r="G6" s="6" t="s">
        <v>19</v>
      </c>
      <c r="H6" s="7" t="s">
        <v>1197</v>
      </c>
      <c r="I6" s="8" t="s">
        <v>18</v>
      </c>
      <c r="J6" s="9">
        <v>2820</v>
      </c>
      <c r="K6" s="15">
        <v>598</v>
      </c>
      <c r="L6" s="11">
        <f>E6</f>
        <v>149.69999999999999</v>
      </c>
      <c r="M6" s="31">
        <f>Tabela2[[#This Row],[R$TOTAL FÉRIAS FACIL ]]-Tabela2[[#This Row],[R$ PARCELADO]]</f>
        <v>448.3</v>
      </c>
      <c r="N6" s="6"/>
    </row>
    <row r="7" spans="1:14" x14ac:dyDescent="0.25">
      <c r="A7" s="6" t="s">
        <v>20</v>
      </c>
      <c r="B7" s="7">
        <f t="shared" ca="1" si="0"/>
        <v>98</v>
      </c>
      <c r="C7" s="7"/>
      <c r="D7" s="7"/>
      <c r="E7" s="7"/>
      <c r="F7" s="7" t="s">
        <v>1183</v>
      </c>
      <c r="G7" s="6" t="s">
        <v>22</v>
      </c>
      <c r="H7" s="7" t="s">
        <v>13</v>
      </c>
      <c r="I7" s="8" t="s">
        <v>18</v>
      </c>
      <c r="J7" s="9">
        <v>2244</v>
      </c>
      <c r="K7" s="15">
        <v>598</v>
      </c>
      <c r="L7" s="6"/>
      <c r="M7" s="31"/>
      <c r="N7" s="11">
        <f>K7</f>
        <v>598</v>
      </c>
    </row>
    <row r="8" spans="1:14" x14ac:dyDescent="0.25">
      <c r="A8" s="6" t="s">
        <v>23</v>
      </c>
      <c r="B8" s="7">
        <f t="shared" ca="1" si="0"/>
        <v>85</v>
      </c>
      <c r="C8" s="7">
        <v>3</v>
      </c>
      <c r="D8" s="10">
        <v>49.9</v>
      </c>
      <c r="E8" s="10">
        <f>D8*C8</f>
        <v>149.69999999999999</v>
      </c>
      <c r="F8" s="7" t="s">
        <v>1183</v>
      </c>
      <c r="G8" s="6" t="s">
        <v>25</v>
      </c>
      <c r="H8" s="7" t="s">
        <v>1197</v>
      </c>
      <c r="I8" s="8" t="s">
        <v>24</v>
      </c>
      <c r="J8" s="9">
        <v>2640</v>
      </c>
      <c r="K8" s="15">
        <v>598</v>
      </c>
      <c r="L8" s="11">
        <f>E8</f>
        <v>149.69999999999999</v>
      </c>
      <c r="M8" s="31">
        <f>Tabela2[[#This Row],[R$TOTAL FÉRIAS FACIL ]]-Tabela2[[#This Row],[R$ PARCELADO]]</f>
        <v>448.3</v>
      </c>
      <c r="N8" s="6"/>
    </row>
    <row r="9" spans="1:14" x14ac:dyDescent="0.25">
      <c r="A9" s="6" t="s">
        <v>26</v>
      </c>
      <c r="B9" s="7">
        <f t="shared" ca="1" si="0"/>
        <v>168</v>
      </c>
      <c r="C9" s="7"/>
      <c r="D9" s="7"/>
      <c r="E9" s="7"/>
      <c r="F9" s="7" t="s">
        <v>1184</v>
      </c>
      <c r="G9" s="6" t="s">
        <v>28</v>
      </c>
      <c r="H9" s="7" t="s">
        <v>13</v>
      </c>
      <c r="I9" s="8" t="s">
        <v>29</v>
      </c>
      <c r="J9" s="9">
        <v>4611.96</v>
      </c>
      <c r="K9" s="16">
        <v>1196</v>
      </c>
      <c r="L9" s="6"/>
      <c r="M9" s="31"/>
      <c r="N9" s="11">
        <f t="shared" ref="N9:N13" si="1">K9</f>
        <v>1196</v>
      </c>
    </row>
    <row r="10" spans="1:14" x14ac:dyDescent="0.25">
      <c r="A10" s="6" t="s">
        <v>30</v>
      </c>
      <c r="B10" s="7">
        <f t="shared" ca="1" si="0"/>
        <v>166</v>
      </c>
      <c r="C10" s="7"/>
      <c r="D10" s="7"/>
      <c r="E10" s="7"/>
      <c r="F10" s="7" t="s">
        <v>1184</v>
      </c>
      <c r="G10" s="6" t="s">
        <v>31</v>
      </c>
      <c r="H10" s="7" t="s">
        <v>13</v>
      </c>
      <c r="I10" s="8" t="s">
        <v>32</v>
      </c>
      <c r="J10" s="9">
        <v>4611.96</v>
      </c>
      <c r="K10" s="16">
        <v>1196</v>
      </c>
      <c r="L10" s="6"/>
      <c r="M10" s="31"/>
      <c r="N10" s="11">
        <f t="shared" si="1"/>
        <v>1196</v>
      </c>
    </row>
    <row r="11" spans="1:14" x14ac:dyDescent="0.25">
      <c r="A11" s="6" t="s">
        <v>33</v>
      </c>
      <c r="B11" s="7">
        <f t="shared" ca="1" si="0"/>
        <v>160</v>
      </c>
      <c r="C11" s="7"/>
      <c r="D11" s="7"/>
      <c r="E11" s="7"/>
      <c r="F11" s="7" t="s">
        <v>1184</v>
      </c>
      <c r="G11" s="6" t="s">
        <v>35</v>
      </c>
      <c r="H11" s="7" t="s">
        <v>13</v>
      </c>
      <c r="I11" s="8">
        <v>45960</v>
      </c>
      <c r="J11" s="9">
        <v>4611.96</v>
      </c>
      <c r="K11" s="16">
        <v>1196</v>
      </c>
      <c r="L11" s="6"/>
      <c r="M11" s="31"/>
      <c r="N11" s="11">
        <f t="shared" si="1"/>
        <v>1196</v>
      </c>
    </row>
    <row r="12" spans="1:14" x14ac:dyDescent="0.25">
      <c r="A12" s="6" t="s">
        <v>37</v>
      </c>
      <c r="B12" s="7">
        <f t="shared" ca="1" si="0"/>
        <v>160</v>
      </c>
      <c r="C12" s="7"/>
      <c r="D12" s="7"/>
      <c r="E12" s="7"/>
      <c r="F12" s="7" t="s">
        <v>1184</v>
      </c>
      <c r="G12" s="6" t="s">
        <v>38</v>
      </c>
      <c r="H12" s="7" t="s">
        <v>13</v>
      </c>
      <c r="I12" s="8" t="s">
        <v>36</v>
      </c>
      <c r="J12" s="9">
        <v>4611.96</v>
      </c>
      <c r="K12" s="16">
        <v>1196</v>
      </c>
      <c r="L12" s="6"/>
      <c r="M12" s="31"/>
      <c r="N12" s="11">
        <f t="shared" si="1"/>
        <v>1196</v>
      </c>
    </row>
    <row r="13" spans="1:14" x14ac:dyDescent="0.25">
      <c r="A13" s="6" t="s">
        <v>39</v>
      </c>
      <c r="B13" s="7">
        <f t="shared" ca="1" si="0"/>
        <v>156</v>
      </c>
      <c r="C13" s="7"/>
      <c r="D13" s="7"/>
      <c r="E13" s="7"/>
      <c r="F13" s="7" t="s">
        <v>1184</v>
      </c>
      <c r="G13" s="6" t="s">
        <v>40</v>
      </c>
      <c r="H13" s="7" t="s">
        <v>13</v>
      </c>
      <c r="I13" s="8" t="s">
        <v>41</v>
      </c>
      <c r="J13" s="9">
        <v>7011.96</v>
      </c>
      <c r="K13" s="16">
        <v>1196</v>
      </c>
      <c r="L13" s="6"/>
      <c r="M13" s="31"/>
      <c r="N13" s="11">
        <f t="shared" si="1"/>
        <v>1196</v>
      </c>
    </row>
    <row r="14" spans="1:14" x14ac:dyDescent="0.25">
      <c r="A14" s="6" t="s">
        <v>42</v>
      </c>
      <c r="B14" s="7">
        <f t="shared" ca="1" si="0"/>
        <v>153</v>
      </c>
      <c r="C14" s="12">
        <v>5</v>
      </c>
      <c r="D14" s="10">
        <v>99.9</v>
      </c>
      <c r="E14" s="10">
        <f t="shared" ref="E14:E15" si="2">D14*C14</f>
        <v>499.5</v>
      </c>
      <c r="F14" s="7" t="s">
        <v>1184</v>
      </c>
      <c r="G14" s="6" t="s">
        <v>43</v>
      </c>
      <c r="H14" s="7" t="s">
        <v>1197</v>
      </c>
      <c r="I14" s="8" t="s">
        <v>27</v>
      </c>
      <c r="J14" s="9">
        <v>6681.96</v>
      </c>
      <c r="K14" s="16">
        <v>1196</v>
      </c>
      <c r="L14" s="11">
        <f t="shared" ref="L14:L15" si="3">E14</f>
        <v>499.5</v>
      </c>
      <c r="M14" s="31">
        <f>Tabela2[[#This Row],[R$TOTAL FÉRIAS FACIL ]]-Tabela2[[#This Row],[R$ PARCELADO]]</f>
        <v>696.5</v>
      </c>
      <c r="N14" s="6"/>
    </row>
    <row r="15" spans="1:14" x14ac:dyDescent="0.25">
      <c r="A15" s="6" t="s">
        <v>44</v>
      </c>
      <c r="B15" s="7">
        <f t="shared" ca="1" si="0"/>
        <v>152</v>
      </c>
      <c r="C15" s="12">
        <v>5</v>
      </c>
      <c r="D15" s="10">
        <v>99.9</v>
      </c>
      <c r="E15" s="10">
        <f t="shared" si="2"/>
        <v>499.5</v>
      </c>
      <c r="F15" s="7" t="s">
        <v>1184</v>
      </c>
      <c r="G15" s="6" t="s">
        <v>46</v>
      </c>
      <c r="H15" s="7" t="s">
        <v>1197</v>
      </c>
      <c r="I15" s="8" t="s">
        <v>45</v>
      </c>
      <c r="J15" s="9">
        <v>7881.96</v>
      </c>
      <c r="K15" s="16">
        <v>1196</v>
      </c>
      <c r="L15" s="11">
        <f t="shared" si="3"/>
        <v>499.5</v>
      </c>
      <c r="M15" s="31">
        <f>Tabela2[[#This Row],[R$TOTAL FÉRIAS FACIL ]]-Tabela2[[#This Row],[R$ PARCELADO]]</f>
        <v>696.5</v>
      </c>
      <c r="N15" s="6"/>
    </row>
    <row r="16" spans="1:14" x14ac:dyDescent="0.25">
      <c r="A16" s="6" t="s">
        <v>47</v>
      </c>
      <c r="B16" s="7">
        <f t="shared" ca="1" si="0"/>
        <v>152</v>
      </c>
      <c r="C16" s="7"/>
      <c r="D16" s="7"/>
      <c r="E16" s="7"/>
      <c r="F16" s="7" t="s">
        <v>1184</v>
      </c>
      <c r="G16" s="6" t="s">
        <v>49</v>
      </c>
      <c r="H16" s="7" t="s">
        <v>13</v>
      </c>
      <c r="I16" s="8" t="s">
        <v>45</v>
      </c>
      <c r="J16" s="9">
        <v>6681.96</v>
      </c>
      <c r="K16" s="16">
        <v>1196</v>
      </c>
      <c r="L16" s="6"/>
      <c r="M16" s="31"/>
      <c r="N16" s="11">
        <f>K16</f>
        <v>1196</v>
      </c>
    </row>
    <row r="17" spans="1:14" x14ac:dyDescent="0.25">
      <c r="A17" s="6" t="s">
        <v>50</v>
      </c>
      <c r="B17" s="7">
        <f t="shared" ca="1" si="0"/>
        <v>152</v>
      </c>
      <c r="C17" s="12">
        <v>5</v>
      </c>
      <c r="D17" s="10">
        <v>99.9</v>
      </c>
      <c r="E17" s="10">
        <f>D17*C17</f>
        <v>499.5</v>
      </c>
      <c r="F17" s="7" t="s">
        <v>1184</v>
      </c>
      <c r="G17" s="6" t="s">
        <v>51</v>
      </c>
      <c r="H17" s="7" t="s">
        <v>1197</v>
      </c>
      <c r="I17" s="8" t="s">
        <v>45</v>
      </c>
      <c r="J17" s="9">
        <v>6681.96</v>
      </c>
      <c r="K17" s="16">
        <v>1196</v>
      </c>
      <c r="L17" s="11">
        <f>E17</f>
        <v>499.5</v>
      </c>
      <c r="M17" s="31">
        <f>Tabela2[[#This Row],[R$TOTAL FÉRIAS FACIL ]]-Tabela2[[#This Row],[R$ PARCELADO]]</f>
        <v>696.5</v>
      </c>
      <c r="N17" s="6"/>
    </row>
    <row r="18" spans="1:14" x14ac:dyDescent="0.25">
      <c r="A18" s="6" t="s">
        <v>52</v>
      </c>
      <c r="B18" s="7">
        <f t="shared" ca="1" si="0"/>
        <v>141</v>
      </c>
      <c r="C18" s="7"/>
      <c r="D18" s="7"/>
      <c r="E18" s="7"/>
      <c r="F18" s="7" t="s">
        <v>1184</v>
      </c>
      <c r="G18" s="6" t="s">
        <v>54</v>
      </c>
      <c r="H18" s="7" t="s">
        <v>13</v>
      </c>
      <c r="I18" s="8" t="s">
        <v>53</v>
      </c>
      <c r="J18" s="9">
        <v>4611.96</v>
      </c>
      <c r="K18" s="16">
        <v>1196</v>
      </c>
      <c r="L18" s="6"/>
      <c r="M18" s="31"/>
      <c r="N18" s="11">
        <f t="shared" ref="N18:N24" si="4">K18</f>
        <v>1196</v>
      </c>
    </row>
    <row r="19" spans="1:14" x14ac:dyDescent="0.25">
      <c r="A19" s="6" t="s">
        <v>55</v>
      </c>
      <c r="B19" s="7">
        <f t="shared" ca="1" si="0"/>
        <v>140</v>
      </c>
      <c r="C19" s="7"/>
      <c r="D19" s="7"/>
      <c r="E19" s="7"/>
      <c r="F19" s="7" t="s">
        <v>1184</v>
      </c>
      <c r="G19" s="6" t="s">
        <v>56</v>
      </c>
      <c r="H19" s="7" t="s">
        <v>13</v>
      </c>
      <c r="I19" s="8" t="s">
        <v>57</v>
      </c>
      <c r="J19" s="9">
        <v>4611.96</v>
      </c>
      <c r="K19" s="16">
        <v>1196</v>
      </c>
      <c r="L19" s="6"/>
      <c r="M19" s="31"/>
      <c r="N19" s="11">
        <f t="shared" si="4"/>
        <v>1196</v>
      </c>
    </row>
    <row r="20" spans="1:14" x14ac:dyDescent="0.25">
      <c r="A20" s="6" t="s">
        <v>58</v>
      </c>
      <c r="B20" s="7">
        <f t="shared" ca="1" si="0"/>
        <v>139</v>
      </c>
      <c r="C20" s="7"/>
      <c r="D20" s="7"/>
      <c r="E20" s="7"/>
      <c r="F20" s="7" t="s">
        <v>1184</v>
      </c>
      <c r="G20" s="6" t="s">
        <v>60</v>
      </c>
      <c r="H20" s="7" t="s">
        <v>13</v>
      </c>
      <c r="I20" s="8" t="s">
        <v>61</v>
      </c>
      <c r="J20" s="9">
        <v>4611.96</v>
      </c>
      <c r="K20" s="16">
        <v>1196</v>
      </c>
      <c r="L20" s="6"/>
      <c r="M20" s="31"/>
      <c r="N20" s="11">
        <f t="shared" si="4"/>
        <v>1196</v>
      </c>
    </row>
    <row r="21" spans="1:14" x14ac:dyDescent="0.25">
      <c r="A21" s="6" t="s">
        <v>62</v>
      </c>
      <c r="B21" s="7">
        <f t="shared" ca="1" si="0"/>
        <v>138</v>
      </c>
      <c r="C21" s="7"/>
      <c r="D21" s="7"/>
      <c r="E21" s="7"/>
      <c r="F21" s="7" t="s">
        <v>1184</v>
      </c>
      <c r="G21" s="6" t="s">
        <v>63</v>
      </c>
      <c r="H21" s="7" t="s">
        <v>13</v>
      </c>
      <c r="I21" s="8" t="s">
        <v>59</v>
      </c>
      <c r="J21" s="9">
        <v>4611.96</v>
      </c>
      <c r="K21" s="16">
        <v>1196</v>
      </c>
      <c r="L21" s="6"/>
      <c r="M21" s="31"/>
      <c r="N21" s="11">
        <f t="shared" si="4"/>
        <v>1196</v>
      </c>
    </row>
    <row r="22" spans="1:14" x14ac:dyDescent="0.25">
      <c r="A22" s="6" t="s">
        <v>64</v>
      </c>
      <c r="B22" s="7">
        <f t="shared" ca="1" si="0"/>
        <v>137</v>
      </c>
      <c r="C22" s="7"/>
      <c r="D22" s="7"/>
      <c r="E22" s="7"/>
      <c r="F22" s="7" t="s">
        <v>1184</v>
      </c>
      <c r="G22" s="6" t="s">
        <v>65</v>
      </c>
      <c r="H22" s="7" t="s">
        <v>13</v>
      </c>
      <c r="I22" s="8" t="s">
        <v>66</v>
      </c>
      <c r="J22" s="9">
        <v>4611.96</v>
      </c>
      <c r="K22" s="16">
        <v>1196</v>
      </c>
      <c r="L22" s="6"/>
      <c r="M22" s="31"/>
      <c r="N22" s="11">
        <f t="shared" si="4"/>
        <v>1196</v>
      </c>
    </row>
    <row r="23" spans="1:14" x14ac:dyDescent="0.25">
      <c r="A23" s="6" t="s">
        <v>67</v>
      </c>
      <c r="B23" s="7">
        <f t="shared" ca="1" si="0"/>
        <v>131</v>
      </c>
      <c r="C23" s="7"/>
      <c r="D23" s="7"/>
      <c r="E23" s="7"/>
      <c r="F23" s="7" t="s">
        <v>1184</v>
      </c>
      <c r="G23" s="6" t="s">
        <v>68</v>
      </c>
      <c r="H23" s="7" t="s">
        <v>13</v>
      </c>
      <c r="I23" s="8" t="s">
        <v>6</v>
      </c>
      <c r="J23" s="9">
        <v>4611.96</v>
      </c>
      <c r="K23" s="16">
        <v>1196</v>
      </c>
      <c r="L23" s="6"/>
      <c r="M23" s="31"/>
      <c r="N23" s="11">
        <f t="shared" si="4"/>
        <v>1196</v>
      </c>
    </row>
    <row r="24" spans="1:14" x14ac:dyDescent="0.25">
      <c r="A24" s="6" t="s">
        <v>70</v>
      </c>
      <c r="B24" s="7">
        <f t="shared" ca="1" si="0"/>
        <v>128</v>
      </c>
      <c r="C24" s="7"/>
      <c r="D24" s="7"/>
      <c r="E24" s="7"/>
      <c r="F24" s="7" t="s">
        <v>1184</v>
      </c>
      <c r="G24" s="6" t="s">
        <v>72</v>
      </c>
      <c r="H24" s="7" t="s">
        <v>13</v>
      </c>
      <c r="I24" s="8" t="s">
        <v>48</v>
      </c>
      <c r="J24" s="9">
        <v>6681.96</v>
      </c>
      <c r="K24" s="16">
        <v>1196</v>
      </c>
      <c r="L24" s="6"/>
      <c r="M24" s="31"/>
      <c r="N24" s="11">
        <f t="shared" si="4"/>
        <v>1196</v>
      </c>
    </row>
    <row r="25" spans="1:14" x14ac:dyDescent="0.25">
      <c r="A25" s="6" t="s">
        <v>73</v>
      </c>
      <c r="B25" s="7">
        <f t="shared" ca="1" si="0"/>
        <v>125</v>
      </c>
      <c r="C25" s="12">
        <v>4</v>
      </c>
      <c r="D25" s="10">
        <v>99.9</v>
      </c>
      <c r="E25" s="10">
        <f t="shared" ref="E25:E26" si="5">D25*C25</f>
        <v>399.6</v>
      </c>
      <c r="F25" s="7" t="s">
        <v>1184</v>
      </c>
      <c r="G25" s="6" t="s">
        <v>74</v>
      </c>
      <c r="H25" s="7" t="s">
        <v>1197</v>
      </c>
      <c r="I25" s="8" t="s">
        <v>75</v>
      </c>
      <c r="J25" s="9">
        <v>6681.96</v>
      </c>
      <c r="K25" s="16">
        <v>1196</v>
      </c>
      <c r="L25" s="11">
        <f t="shared" ref="L25:L26" si="6">E25</f>
        <v>399.6</v>
      </c>
      <c r="M25" s="31">
        <f>Tabela2[[#This Row],[R$TOTAL FÉRIAS FACIL ]]-Tabela2[[#This Row],[R$ PARCELADO]]</f>
        <v>796.4</v>
      </c>
      <c r="N25" s="6"/>
    </row>
    <row r="26" spans="1:14" x14ac:dyDescent="0.25">
      <c r="A26" s="6" t="s">
        <v>76</v>
      </c>
      <c r="B26" s="7">
        <f t="shared" ca="1" si="0"/>
        <v>124</v>
      </c>
      <c r="C26" s="12">
        <v>4</v>
      </c>
      <c r="D26" s="10">
        <v>99.9</v>
      </c>
      <c r="E26" s="10">
        <f t="shared" si="5"/>
        <v>399.6</v>
      </c>
      <c r="F26" s="7" t="s">
        <v>1184</v>
      </c>
      <c r="G26" s="6" t="s">
        <v>77</v>
      </c>
      <c r="H26" s="7" t="s">
        <v>1197</v>
      </c>
      <c r="I26" s="8" t="s">
        <v>78</v>
      </c>
      <c r="J26" s="9">
        <v>6681.96</v>
      </c>
      <c r="K26" s="16">
        <v>1196</v>
      </c>
      <c r="L26" s="11">
        <f t="shared" si="6"/>
        <v>399.6</v>
      </c>
      <c r="M26" s="31">
        <f>Tabela2[[#This Row],[R$TOTAL FÉRIAS FACIL ]]-Tabela2[[#This Row],[R$ PARCELADO]]</f>
        <v>796.4</v>
      </c>
      <c r="N26" s="6"/>
    </row>
    <row r="27" spans="1:14" x14ac:dyDescent="0.25">
      <c r="A27" s="6" t="s">
        <v>79</v>
      </c>
      <c r="B27" s="7">
        <f t="shared" ca="1" si="0"/>
        <v>124</v>
      </c>
      <c r="C27" s="7"/>
      <c r="D27" s="7"/>
      <c r="E27" s="7"/>
      <c r="F27" s="7" t="s">
        <v>1184</v>
      </c>
      <c r="G27" s="6" t="s">
        <v>81</v>
      </c>
      <c r="H27" s="7" t="s">
        <v>13</v>
      </c>
      <c r="I27" s="8" t="s">
        <v>78</v>
      </c>
      <c r="J27" s="9">
        <v>4611.96</v>
      </c>
      <c r="K27" s="16">
        <v>1196</v>
      </c>
      <c r="L27" s="6"/>
      <c r="M27" s="31"/>
      <c r="N27" s="11">
        <f t="shared" ref="N27:N29" si="7">K27</f>
        <v>1196</v>
      </c>
    </row>
    <row r="28" spans="1:14" x14ac:dyDescent="0.25">
      <c r="A28" s="6" t="s">
        <v>82</v>
      </c>
      <c r="B28" s="7">
        <f t="shared" ca="1" si="0"/>
        <v>117</v>
      </c>
      <c r="C28" s="7"/>
      <c r="D28" s="7"/>
      <c r="E28" s="7"/>
      <c r="F28" s="7" t="s">
        <v>1184</v>
      </c>
      <c r="G28" s="6" t="s">
        <v>83</v>
      </c>
      <c r="H28" s="7" t="s">
        <v>13</v>
      </c>
      <c r="I28" s="8" t="s">
        <v>15</v>
      </c>
      <c r="J28" s="9">
        <v>6681.96</v>
      </c>
      <c r="K28" s="16">
        <v>1196</v>
      </c>
      <c r="L28" s="6"/>
      <c r="M28" s="31"/>
      <c r="N28" s="11">
        <f t="shared" si="7"/>
        <v>1196</v>
      </c>
    </row>
    <row r="29" spans="1:14" x14ac:dyDescent="0.25">
      <c r="A29" s="6" t="s">
        <v>84</v>
      </c>
      <c r="B29" s="7">
        <f t="shared" ca="1" si="0"/>
        <v>113</v>
      </c>
      <c r="C29" s="7"/>
      <c r="D29" s="7"/>
      <c r="E29" s="7"/>
      <c r="F29" s="7" t="s">
        <v>1184</v>
      </c>
      <c r="G29" s="6" t="s">
        <v>85</v>
      </c>
      <c r="H29" s="7" t="s">
        <v>13</v>
      </c>
      <c r="I29" s="8" t="s">
        <v>86</v>
      </c>
      <c r="J29" s="9">
        <v>4611.96</v>
      </c>
      <c r="K29" s="16">
        <v>1196</v>
      </c>
      <c r="L29" s="6"/>
      <c r="M29" s="31"/>
      <c r="N29" s="11">
        <f t="shared" si="7"/>
        <v>1196</v>
      </c>
    </row>
    <row r="30" spans="1:14" x14ac:dyDescent="0.25">
      <c r="A30" s="6" t="s">
        <v>87</v>
      </c>
      <c r="B30" s="7">
        <f t="shared" ca="1" si="0"/>
        <v>112</v>
      </c>
      <c r="C30" s="12">
        <v>4</v>
      </c>
      <c r="D30" s="10">
        <v>99.9</v>
      </c>
      <c r="E30" s="10">
        <f>D30*C30</f>
        <v>399.6</v>
      </c>
      <c r="F30" s="7" t="s">
        <v>1184</v>
      </c>
      <c r="G30" s="6" t="s">
        <v>88</v>
      </c>
      <c r="H30" s="7" t="s">
        <v>1197</v>
      </c>
      <c r="I30" s="8" t="s">
        <v>69</v>
      </c>
      <c r="J30" s="9">
        <v>6681.96</v>
      </c>
      <c r="K30" s="16">
        <v>1196</v>
      </c>
      <c r="L30" s="11">
        <f>E30</f>
        <v>399.6</v>
      </c>
      <c r="M30" s="31">
        <f>Tabela2[[#This Row],[R$TOTAL FÉRIAS FACIL ]]-Tabela2[[#This Row],[R$ PARCELADO]]</f>
        <v>796.4</v>
      </c>
      <c r="N30" s="6"/>
    </row>
    <row r="31" spans="1:14" x14ac:dyDescent="0.25">
      <c r="A31" s="6" t="s">
        <v>89</v>
      </c>
      <c r="B31" s="7">
        <f t="shared" ca="1" si="0"/>
        <v>111</v>
      </c>
      <c r="C31" s="7"/>
      <c r="D31" s="7"/>
      <c r="E31" s="7"/>
      <c r="F31" s="7" t="s">
        <v>1184</v>
      </c>
      <c r="G31" s="6" t="s">
        <v>90</v>
      </c>
      <c r="H31" s="7" t="s">
        <v>13</v>
      </c>
      <c r="I31" s="8" t="s">
        <v>91</v>
      </c>
      <c r="J31" s="9">
        <v>4611.96</v>
      </c>
      <c r="K31" s="16">
        <v>1196</v>
      </c>
      <c r="L31" s="6"/>
      <c r="M31" s="31"/>
      <c r="N31" s="11">
        <f t="shared" ref="N31:N32" si="8">K31</f>
        <v>1196</v>
      </c>
    </row>
    <row r="32" spans="1:14" x14ac:dyDescent="0.25">
      <c r="A32" s="6" t="s">
        <v>92</v>
      </c>
      <c r="B32" s="7">
        <f t="shared" ca="1" si="0"/>
        <v>107</v>
      </c>
      <c r="C32" s="7"/>
      <c r="D32" s="7"/>
      <c r="E32" s="7"/>
      <c r="F32" s="7" t="s">
        <v>1184</v>
      </c>
      <c r="G32" s="6" t="s">
        <v>94</v>
      </c>
      <c r="H32" s="7" t="s">
        <v>13</v>
      </c>
      <c r="I32" s="8" t="s">
        <v>93</v>
      </c>
      <c r="J32" s="9">
        <v>4611.96</v>
      </c>
      <c r="K32" s="16">
        <v>1196</v>
      </c>
      <c r="L32" s="6"/>
      <c r="M32" s="31"/>
      <c r="N32" s="11">
        <f t="shared" si="8"/>
        <v>1196</v>
      </c>
    </row>
    <row r="33" spans="1:14" x14ac:dyDescent="0.25">
      <c r="A33" s="6" t="s">
        <v>95</v>
      </c>
      <c r="B33" s="7">
        <f t="shared" ca="1" si="0"/>
        <v>106</v>
      </c>
      <c r="C33" s="12">
        <v>4</v>
      </c>
      <c r="D33" s="10">
        <v>99.9</v>
      </c>
      <c r="E33" s="10">
        <f>D33*C33</f>
        <v>399.6</v>
      </c>
      <c r="F33" s="7" t="s">
        <v>1184</v>
      </c>
      <c r="G33" s="6" t="s">
        <v>97</v>
      </c>
      <c r="H33" s="7" t="s">
        <v>1197</v>
      </c>
      <c r="I33" s="8" t="s">
        <v>96</v>
      </c>
      <c r="J33" s="9">
        <v>6681.96</v>
      </c>
      <c r="K33" s="16">
        <v>1196</v>
      </c>
      <c r="L33" s="11">
        <f>E33</f>
        <v>399.6</v>
      </c>
      <c r="M33" s="31">
        <f>Tabela2[[#This Row],[R$TOTAL FÉRIAS FACIL ]]-Tabela2[[#This Row],[R$ PARCELADO]]</f>
        <v>796.4</v>
      </c>
      <c r="N33" s="6"/>
    </row>
    <row r="34" spans="1:14" x14ac:dyDescent="0.25">
      <c r="A34" s="6" t="s">
        <v>98</v>
      </c>
      <c r="B34" s="7">
        <f t="shared" ca="1" si="0"/>
        <v>106</v>
      </c>
      <c r="C34" s="7"/>
      <c r="D34" s="7"/>
      <c r="E34" s="7"/>
      <c r="F34" s="7" t="s">
        <v>1184</v>
      </c>
      <c r="G34" s="6" t="s">
        <v>100</v>
      </c>
      <c r="H34" s="7" t="s">
        <v>13</v>
      </c>
      <c r="I34" s="8" t="s">
        <v>96</v>
      </c>
      <c r="J34" s="9">
        <v>4611.96</v>
      </c>
      <c r="K34" s="16">
        <v>1196</v>
      </c>
      <c r="L34" s="6"/>
      <c r="M34" s="31"/>
      <c r="N34" s="11">
        <f t="shared" ref="N34:N36" si="9">K34</f>
        <v>1196</v>
      </c>
    </row>
    <row r="35" spans="1:14" x14ac:dyDescent="0.25">
      <c r="A35" s="6" t="s">
        <v>102</v>
      </c>
      <c r="B35" s="7">
        <f t="shared" ref="B35:B58" ca="1" si="10">$I$1-I35</f>
        <v>105</v>
      </c>
      <c r="C35" s="7"/>
      <c r="D35" s="7"/>
      <c r="E35" s="7"/>
      <c r="F35" s="7" t="s">
        <v>1184</v>
      </c>
      <c r="G35" s="6" t="s">
        <v>103</v>
      </c>
      <c r="H35" s="7" t="s">
        <v>13</v>
      </c>
      <c r="I35" s="8" t="s">
        <v>99</v>
      </c>
      <c r="J35" s="9">
        <v>4611.96</v>
      </c>
      <c r="K35" s="16">
        <v>1196</v>
      </c>
      <c r="L35" s="6"/>
      <c r="M35" s="31"/>
      <c r="N35" s="11">
        <f t="shared" si="9"/>
        <v>1196</v>
      </c>
    </row>
    <row r="36" spans="1:14" x14ac:dyDescent="0.25">
      <c r="A36" s="6" t="s">
        <v>104</v>
      </c>
      <c r="B36" s="7">
        <f t="shared" ca="1" si="10"/>
        <v>105</v>
      </c>
      <c r="C36" s="7"/>
      <c r="D36" s="7"/>
      <c r="E36" s="7"/>
      <c r="F36" s="7" t="s">
        <v>1184</v>
      </c>
      <c r="G36" s="6" t="s">
        <v>105</v>
      </c>
      <c r="H36" s="7" t="s">
        <v>13</v>
      </c>
      <c r="I36" s="8" t="s">
        <v>99</v>
      </c>
      <c r="J36" s="9">
        <v>4611.96</v>
      </c>
      <c r="K36" s="16">
        <v>1196</v>
      </c>
      <c r="L36" s="6"/>
      <c r="M36" s="31"/>
      <c r="N36" s="11">
        <f t="shared" si="9"/>
        <v>1196</v>
      </c>
    </row>
    <row r="37" spans="1:14" x14ac:dyDescent="0.25">
      <c r="A37" s="6" t="s">
        <v>106</v>
      </c>
      <c r="B37" s="7">
        <f t="shared" ca="1" si="10"/>
        <v>103</v>
      </c>
      <c r="C37" s="7">
        <v>3</v>
      </c>
      <c r="D37" s="10">
        <v>99.9</v>
      </c>
      <c r="E37" s="10">
        <f t="shared" ref="E37:E38" si="11">D37*C37</f>
        <v>299.70000000000005</v>
      </c>
      <c r="F37" s="7" t="s">
        <v>1184</v>
      </c>
      <c r="G37" s="6" t="s">
        <v>108</v>
      </c>
      <c r="H37" s="7" t="s">
        <v>1197</v>
      </c>
      <c r="I37" s="8" t="s">
        <v>101</v>
      </c>
      <c r="J37" s="9">
        <v>6681.96</v>
      </c>
      <c r="K37" s="16">
        <v>1196</v>
      </c>
      <c r="L37" s="11">
        <f t="shared" ref="L37:L38" si="12">E37</f>
        <v>299.70000000000005</v>
      </c>
      <c r="M37" s="31">
        <f>Tabela2[[#This Row],[R$TOTAL FÉRIAS FACIL ]]-Tabela2[[#This Row],[R$ PARCELADO]]</f>
        <v>896.3</v>
      </c>
      <c r="N37" s="6"/>
    </row>
    <row r="38" spans="1:14" x14ac:dyDescent="0.25">
      <c r="A38" s="6" t="s">
        <v>109</v>
      </c>
      <c r="B38" s="7">
        <f t="shared" ca="1" si="10"/>
        <v>103</v>
      </c>
      <c r="C38" s="7">
        <v>3</v>
      </c>
      <c r="D38" s="10">
        <v>99.9</v>
      </c>
      <c r="E38" s="10">
        <f t="shared" si="11"/>
        <v>299.70000000000005</v>
      </c>
      <c r="F38" s="7" t="s">
        <v>1184</v>
      </c>
      <c r="G38" s="6" t="s">
        <v>110</v>
      </c>
      <c r="H38" s="7" t="s">
        <v>1197</v>
      </c>
      <c r="I38" s="8" t="s">
        <v>101</v>
      </c>
      <c r="J38" s="9">
        <v>6681.96</v>
      </c>
      <c r="K38" s="16">
        <v>1196</v>
      </c>
      <c r="L38" s="11">
        <f t="shared" si="12"/>
        <v>299.70000000000005</v>
      </c>
      <c r="M38" s="31">
        <f>Tabela2[[#This Row],[R$TOTAL FÉRIAS FACIL ]]-Tabela2[[#This Row],[R$ PARCELADO]]</f>
        <v>896.3</v>
      </c>
      <c r="N38" s="6"/>
    </row>
    <row r="39" spans="1:14" x14ac:dyDescent="0.25">
      <c r="A39" s="6" t="s">
        <v>111</v>
      </c>
      <c r="B39" s="7">
        <f t="shared" ca="1" si="10"/>
        <v>96</v>
      </c>
      <c r="C39" s="7"/>
      <c r="D39" s="7"/>
      <c r="E39" s="7"/>
      <c r="F39" s="7" t="s">
        <v>1184</v>
      </c>
      <c r="G39" s="6" t="s">
        <v>113</v>
      </c>
      <c r="H39" s="7" t="s">
        <v>13</v>
      </c>
      <c r="I39" s="8" t="s">
        <v>112</v>
      </c>
      <c r="J39" s="9">
        <v>4611.96</v>
      </c>
      <c r="K39" s="16">
        <v>1196</v>
      </c>
      <c r="L39" s="6"/>
      <c r="M39" s="31"/>
      <c r="N39" s="11">
        <f t="shared" ref="N39:N40" si="13">K39</f>
        <v>1196</v>
      </c>
    </row>
    <row r="40" spans="1:14" x14ac:dyDescent="0.25">
      <c r="A40" s="6" t="s">
        <v>114</v>
      </c>
      <c r="B40" s="7">
        <f t="shared" ca="1" si="10"/>
        <v>96</v>
      </c>
      <c r="C40" s="7"/>
      <c r="D40" s="7"/>
      <c r="E40" s="7"/>
      <c r="F40" s="7" t="s">
        <v>1184</v>
      </c>
      <c r="G40" s="6" t="s">
        <v>115</v>
      </c>
      <c r="H40" s="7" t="s">
        <v>13</v>
      </c>
      <c r="I40" s="8" t="s">
        <v>112</v>
      </c>
      <c r="J40" s="9">
        <v>4188</v>
      </c>
      <c r="K40" s="16">
        <v>1196</v>
      </c>
      <c r="L40" s="6"/>
      <c r="M40" s="31"/>
      <c r="N40" s="11">
        <f t="shared" si="13"/>
        <v>1196</v>
      </c>
    </row>
    <row r="41" spans="1:14" x14ac:dyDescent="0.25">
      <c r="A41" s="6" t="s">
        <v>116</v>
      </c>
      <c r="B41" s="7">
        <f t="shared" ca="1" si="10"/>
        <v>96</v>
      </c>
      <c r="C41" s="7">
        <v>3</v>
      </c>
      <c r="D41" s="10">
        <v>99.9</v>
      </c>
      <c r="E41" s="10">
        <f>D41*C41</f>
        <v>299.70000000000005</v>
      </c>
      <c r="F41" s="7" t="s">
        <v>1184</v>
      </c>
      <c r="G41" s="6" t="s">
        <v>117</v>
      </c>
      <c r="H41" s="7" t="s">
        <v>1197</v>
      </c>
      <c r="I41" s="8" t="s">
        <v>112</v>
      </c>
      <c r="J41" s="9">
        <v>9082.02</v>
      </c>
      <c r="K41" s="16">
        <v>1196</v>
      </c>
      <c r="L41" s="11">
        <f>E41</f>
        <v>299.70000000000005</v>
      </c>
      <c r="M41" s="31">
        <f>Tabela2[[#This Row],[R$TOTAL FÉRIAS FACIL ]]-Tabela2[[#This Row],[R$ PARCELADO]]</f>
        <v>896.3</v>
      </c>
      <c r="N41" s="6"/>
    </row>
    <row r="42" spans="1:14" x14ac:dyDescent="0.25">
      <c r="A42" s="6" t="s">
        <v>118</v>
      </c>
      <c r="B42" s="7">
        <f t="shared" ca="1" si="10"/>
        <v>96</v>
      </c>
      <c r="C42" s="7"/>
      <c r="D42" s="7"/>
      <c r="E42" s="7"/>
      <c r="F42" s="7" t="s">
        <v>1184</v>
      </c>
      <c r="G42" s="6" t="s">
        <v>119</v>
      </c>
      <c r="H42" s="7" t="s">
        <v>13</v>
      </c>
      <c r="I42" s="8" t="s">
        <v>112</v>
      </c>
      <c r="J42" s="9">
        <v>7011.96</v>
      </c>
      <c r="K42" s="16">
        <v>1196</v>
      </c>
      <c r="L42" s="6"/>
      <c r="M42" s="31"/>
      <c r="N42" s="11">
        <f>K42</f>
        <v>1196</v>
      </c>
    </row>
    <row r="43" spans="1:14" x14ac:dyDescent="0.25">
      <c r="A43" s="6" t="s">
        <v>120</v>
      </c>
      <c r="B43" s="7">
        <f t="shared" ca="1" si="10"/>
        <v>96</v>
      </c>
      <c r="C43" s="7">
        <v>3</v>
      </c>
      <c r="D43" s="10">
        <v>99.9</v>
      </c>
      <c r="E43" s="10">
        <f>D43*C43</f>
        <v>299.70000000000005</v>
      </c>
      <c r="F43" s="7" t="s">
        <v>1184</v>
      </c>
      <c r="G43" s="6" t="s">
        <v>121</v>
      </c>
      <c r="H43" s="7" t="s">
        <v>1197</v>
      </c>
      <c r="I43" s="8" t="s">
        <v>112</v>
      </c>
      <c r="J43" s="9">
        <v>9082.02</v>
      </c>
      <c r="K43" s="16">
        <v>1196</v>
      </c>
      <c r="L43" s="11">
        <f>E43</f>
        <v>299.70000000000005</v>
      </c>
      <c r="M43" s="31">
        <f>Tabela2[[#This Row],[R$TOTAL FÉRIAS FACIL ]]-Tabela2[[#This Row],[R$ PARCELADO]]</f>
        <v>896.3</v>
      </c>
      <c r="N43" s="6"/>
    </row>
    <row r="44" spans="1:14" x14ac:dyDescent="0.25">
      <c r="A44" s="6" t="s">
        <v>122</v>
      </c>
      <c r="B44" s="7">
        <f t="shared" ca="1" si="10"/>
        <v>96</v>
      </c>
      <c r="C44" s="7"/>
      <c r="D44" s="7"/>
      <c r="E44" s="7"/>
      <c r="F44" s="7" t="s">
        <v>1184</v>
      </c>
      <c r="G44" s="6" t="s">
        <v>123</v>
      </c>
      <c r="H44" s="7" t="s">
        <v>13</v>
      </c>
      <c r="I44" s="8" t="s">
        <v>112</v>
      </c>
      <c r="J44" s="9">
        <v>4611.96</v>
      </c>
      <c r="K44" s="16">
        <v>1196</v>
      </c>
      <c r="L44" s="6"/>
      <c r="M44" s="31"/>
      <c r="N44" s="11">
        <f t="shared" ref="N44:N45" si="14">K44</f>
        <v>1196</v>
      </c>
    </row>
    <row r="45" spans="1:14" x14ac:dyDescent="0.25">
      <c r="A45" s="6" t="s">
        <v>124</v>
      </c>
      <c r="B45" s="7">
        <f t="shared" ca="1" si="10"/>
        <v>92</v>
      </c>
      <c r="C45" s="7"/>
      <c r="D45" s="7"/>
      <c r="E45" s="7"/>
      <c r="F45" s="7" t="s">
        <v>1184</v>
      </c>
      <c r="G45" s="6" t="s">
        <v>126</v>
      </c>
      <c r="H45" s="7" t="s">
        <v>13</v>
      </c>
      <c r="I45" s="8" t="s">
        <v>21</v>
      </c>
      <c r="J45" s="9">
        <v>4611.96</v>
      </c>
      <c r="K45" s="16">
        <v>1196</v>
      </c>
      <c r="L45" s="6"/>
      <c r="M45" s="31"/>
      <c r="N45" s="11">
        <f t="shared" si="14"/>
        <v>1196</v>
      </c>
    </row>
    <row r="46" spans="1:14" x14ac:dyDescent="0.25">
      <c r="A46" s="6" t="s">
        <v>127</v>
      </c>
      <c r="B46" s="7">
        <f t="shared" ca="1" si="10"/>
        <v>91</v>
      </c>
      <c r="C46" s="7">
        <v>3</v>
      </c>
      <c r="D46" s="10">
        <v>99.9</v>
      </c>
      <c r="E46" s="10">
        <f>D46*C46</f>
        <v>299.70000000000005</v>
      </c>
      <c r="F46" s="7" t="s">
        <v>1184</v>
      </c>
      <c r="G46" s="6" t="s">
        <v>129</v>
      </c>
      <c r="H46" s="7" t="s">
        <v>1197</v>
      </c>
      <c r="I46" s="8" t="s">
        <v>125</v>
      </c>
      <c r="J46" s="9">
        <v>6681.96</v>
      </c>
      <c r="K46" s="16">
        <v>1196</v>
      </c>
      <c r="L46" s="11">
        <f>E46</f>
        <v>299.70000000000005</v>
      </c>
      <c r="M46" s="31">
        <f>Tabela2[[#This Row],[R$TOTAL FÉRIAS FACIL ]]-Tabela2[[#This Row],[R$ PARCELADO]]</f>
        <v>896.3</v>
      </c>
      <c r="N46" s="6"/>
    </row>
    <row r="47" spans="1:14" x14ac:dyDescent="0.25">
      <c r="A47" s="6" t="s">
        <v>130</v>
      </c>
      <c r="B47" s="7">
        <f t="shared" ca="1" si="10"/>
        <v>91</v>
      </c>
      <c r="C47" s="7"/>
      <c r="D47" s="7"/>
      <c r="E47" s="7"/>
      <c r="F47" s="7" t="s">
        <v>1184</v>
      </c>
      <c r="G47" s="6" t="s">
        <v>131</v>
      </c>
      <c r="H47" s="7" t="s">
        <v>13</v>
      </c>
      <c r="I47" s="8" t="s">
        <v>125</v>
      </c>
      <c r="J47" s="9">
        <v>7011.96</v>
      </c>
      <c r="K47" s="16">
        <v>1196</v>
      </c>
      <c r="L47" s="6"/>
      <c r="M47" s="31"/>
      <c r="N47" s="11">
        <f t="shared" ref="N47:N48" si="15">K47</f>
        <v>1196</v>
      </c>
    </row>
    <row r="48" spans="1:14" x14ac:dyDescent="0.25">
      <c r="A48" s="6" t="s">
        <v>132</v>
      </c>
      <c r="B48" s="7">
        <f t="shared" ca="1" si="10"/>
        <v>83</v>
      </c>
      <c r="C48" s="7"/>
      <c r="D48" s="7"/>
      <c r="E48" s="7"/>
      <c r="F48" s="7" t="s">
        <v>1184</v>
      </c>
      <c r="G48" s="6" t="s">
        <v>134</v>
      </c>
      <c r="H48" s="7" t="s">
        <v>13</v>
      </c>
      <c r="I48" s="8" t="s">
        <v>135</v>
      </c>
      <c r="J48" s="9">
        <v>4611.96</v>
      </c>
      <c r="K48" s="16">
        <v>1196</v>
      </c>
      <c r="L48" s="6"/>
      <c r="M48" s="31"/>
      <c r="N48" s="11">
        <f t="shared" si="15"/>
        <v>1196</v>
      </c>
    </row>
    <row r="49" spans="1:14" x14ac:dyDescent="0.25">
      <c r="A49" s="6" t="s">
        <v>136</v>
      </c>
      <c r="B49" s="7">
        <f t="shared" ca="1" si="10"/>
        <v>78</v>
      </c>
      <c r="C49" s="7">
        <v>3</v>
      </c>
      <c r="D49" s="10">
        <v>99.9</v>
      </c>
      <c r="E49" s="10">
        <f>D49*C49</f>
        <v>299.70000000000005</v>
      </c>
      <c r="F49" s="7" t="s">
        <v>1184</v>
      </c>
      <c r="G49" s="6" t="s">
        <v>138</v>
      </c>
      <c r="H49" s="7" t="s">
        <v>1197</v>
      </c>
      <c r="I49" s="8" t="s">
        <v>139</v>
      </c>
      <c r="J49" s="9">
        <v>6681.96</v>
      </c>
      <c r="K49" s="16">
        <v>1196</v>
      </c>
      <c r="L49" s="11">
        <f>E49</f>
        <v>299.70000000000005</v>
      </c>
      <c r="M49" s="31">
        <f>Tabela2[[#This Row],[R$TOTAL FÉRIAS FACIL ]]-Tabela2[[#This Row],[R$ PARCELADO]]</f>
        <v>896.3</v>
      </c>
      <c r="N49" s="6"/>
    </row>
    <row r="50" spans="1:14" x14ac:dyDescent="0.25">
      <c r="A50" s="6" t="s">
        <v>140</v>
      </c>
      <c r="B50" s="7">
        <f t="shared" ca="1" si="10"/>
        <v>78</v>
      </c>
      <c r="C50" s="7"/>
      <c r="D50" s="7"/>
      <c r="E50" s="7"/>
      <c r="F50" s="7" t="s">
        <v>1184</v>
      </c>
      <c r="G50" s="6" t="s">
        <v>141</v>
      </c>
      <c r="H50" s="7" t="s">
        <v>13</v>
      </c>
      <c r="I50" s="8" t="s">
        <v>139</v>
      </c>
      <c r="J50" s="9">
        <v>4611.96</v>
      </c>
      <c r="K50" s="16">
        <v>1196</v>
      </c>
      <c r="L50" s="6"/>
      <c r="M50" s="31"/>
      <c r="N50" s="11">
        <f t="shared" ref="N50:N53" si="16">K50</f>
        <v>1196</v>
      </c>
    </row>
    <row r="51" spans="1:14" x14ac:dyDescent="0.25">
      <c r="A51" s="6" t="s">
        <v>142</v>
      </c>
      <c r="B51" s="7">
        <f t="shared" ca="1" si="10"/>
        <v>78</v>
      </c>
      <c r="C51" s="7"/>
      <c r="D51" s="7"/>
      <c r="E51" s="7"/>
      <c r="F51" s="7" t="s">
        <v>1184</v>
      </c>
      <c r="G51" s="6" t="s">
        <v>143</v>
      </c>
      <c r="H51" s="7" t="s">
        <v>13</v>
      </c>
      <c r="I51" s="8" t="s">
        <v>139</v>
      </c>
      <c r="J51" s="9">
        <v>7242.42</v>
      </c>
      <c r="K51" s="16">
        <v>1196</v>
      </c>
      <c r="L51" s="6"/>
      <c r="M51" s="31"/>
      <c r="N51" s="11">
        <f t="shared" si="16"/>
        <v>1196</v>
      </c>
    </row>
    <row r="52" spans="1:14" x14ac:dyDescent="0.25">
      <c r="A52" s="6" t="s">
        <v>144</v>
      </c>
      <c r="B52" s="7">
        <f t="shared" ca="1" si="10"/>
        <v>137</v>
      </c>
      <c r="C52" s="7"/>
      <c r="D52" s="7"/>
      <c r="E52" s="7"/>
      <c r="F52" s="7" t="s">
        <v>1183</v>
      </c>
      <c r="G52" s="6" t="s">
        <v>145</v>
      </c>
      <c r="H52" s="7" t="s">
        <v>13</v>
      </c>
      <c r="I52" s="8" t="s">
        <v>66</v>
      </c>
      <c r="J52" s="9">
        <v>2244</v>
      </c>
      <c r="K52" s="15">
        <v>598</v>
      </c>
      <c r="L52" s="6"/>
      <c r="M52" s="31"/>
      <c r="N52" s="11">
        <f t="shared" si="16"/>
        <v>598</v>
      </c>
    </row>
    <row r="53" spans="1:14" x14ac:dyDescent="0.25">
      <c r="A53" s="6" t="s">
        <v>147</v>
      </c>
      <c r="B53" s="7">
        <f t="shared" ca="1" si="10"/>
        <v>165</v>
      </c>
      <c r="C53" s="7"/>
      <c r="D53" s="7"/>
      <c r="E53" s="7"/>
      <c r="F53" s="7" t="s">
        <v>1183</v>
      </c>
      <c r="G53" s="6" t="s">
        <v>148</v>
      </c>
      <c r="H53" s="7" t="s">
        <v>13</v>
      </c>
      <c r="I53" s="8" t="s">
        <v>150</v>
      </c>
      <c r="J53" s="9">
        <v>2244</v>
      </c>
      <c r="K53" s="15">
        <v>598</v>
      </c>
      <c r="L53" s="6"/>
      <c r="M53" s="31"/>
      <c r="N53" s="11">
        <f t="shared" si="16"/>
        <v>598</v>
      </c>
    </row>
    <row r="54" spans="1:14" x14ac:dyDescent="0.25">
      <c r="A54" s="6" t="s">
        <v>151</v>
      </c>
      <c r="B54" s="7">
        <f t="shared" ca="1" si="10"/>
        <v>169</v>
      </c>
      <c r="C54" s="12">
        <v>6</v>
      </c>
      <c r="D54" s="10">
        <v>49.9</v>
      </c>
      <c r="E54" s="10">
        <f t="shared" ref="E54:E56" si="17">D54*C54</f>
        <v>299.39999999999998</v>
      </c>
      <c r="F54" s="7" t="s">
        <v>1183</v>
      </c>
      <c r="G54" s="6" t="s">
        <v>152</v>
      </c>
      <c r="H54" s="7" t="s">
        <v>1197</v>
      </c>
      <c r="I54" s="8" t="s">
        <v>153</v>
      </c>
      <c r="J54" s="9">
        <v>2840</v>
      </c>
      <c r="K54" s="15">
        <v>598</v>
      </c>
      <c r="L54" s="11">
        <f t="shared" ref="L54:L56" si="18">E54</f>
        <v>299.39999999999998</v>
      </c>
      <c r="M54" s="31">
        <f>Tabela2[[#This Row],[R$TOTAL FÉRIAS FACIL ]]-Tabela2[[#This Row],[R$ PARCELADO]]</f>
        <v>298.60000000000002</v>
      </c>
      <c r="N54" s="6"/>
    </row>
    <row r="55" spans="1:14" x14ac:dyDescent="0.25">
      <c r="A55" s="6" t="s">
        <v>154</v>
      </c>
      <c r="B55" s="7">
        <f t="shared" ca="1" si="10"/>
        <v>152</v>
      </c>
      <c r="C55" s="12">
        <v>5</v>
      </c>
      <c r="D55" s="10">
        <v>49.9</v>
      </c>
      <c r="E55" s="10">
        <f t="shared" si="17"/>
        <v>249.5</v>
      </c>
      <c r="F55" s="7" t="s">
        <v>1183</v>
      </c>
      <c r="G55" s="6" t="s">
        <v>156</v>
      </c>
      <c r="H55" s="7" t="s">
        <v>1197</v>
      </c>
      <c r="I55" s="8" t="s">
        <v>45</v>
      </c>
      <c r="J55" s="9">
        <v>2640</v>
      </c>
      <c r="K55" s="15">
        <v>598</v>
      </c>
      <c r="L55" s="11">
        <f t="shared" si="18"/>
        <v>249.5</v>
      </c>
      <c r="M55" s="31">
        <f>Tabela2[[#This Row],[R$TOTAL FÉRIAS FACIL ]]-Tabela2[[#This Row],[R$ PARCELADO]]</f>
        <v>348.5</v>
      </c>
      <c r="N55" s="6"/>
    </row>
    <row r="56" spans="1:14" x14ac:dyDescent="0.25">
      <c r="A56" s="6" t="s">
        <v>158</v>
      </c>
      <c r="B56" s="7">
        <f t="shared" ca="1" si="10"/>
        <v>139</v>
      </c>
      <c r="C56" s="12">
        <v>5</v>
      </c>
      <c r="D56" s="10">
        <v>49.9</v>
      </c>
      <c r="E56" s="10">
        <f t="shared" si="17"/>
        <v>249.5</v>
      </c>
      <c r="F56" s="7" t="s">
        <v>1183</v>
      </c>
      <c r="G56" s="6" t="s">
        <v>159</v>
      </c>
      <c r="H56" s="7" t="s">
        <v>1197</v>
      </c>
      <c r="I56" s="8" t="s">
        <v>61</v>
      </c>
      <c r="J56" s="9">
        <v>2840</v>
      </c>
      <c r="K56" s="15">
        <v>598</v>
      </c>
      <c r="L56" s="11">
        <f t="shared" si="18"/>
        <v>249.5</v>
      </c>
      <c r="M56" s="31">
        <f>Tabela2[[#This Row],[R$TOTAL FÉRIAS FACIL ]]-Tabela2[[#This Row],[R$ PARCELADO]]</f>
        <v>348.5</v>
      </c>
      <c r="N56" s="6"/>
    </row>
    <row r="57" spans="1:14" x14ac:dyDescent="0.25">
      <c r="A57" s="6" t="s">
        <v>160</v>
      </c>
      <c r="B57" s="7">
        <f t="shared" ca="1" si="10"/>
        <v>170</v>
      </c>
      <c r="C57" s="7"/>
      <c r="D57" s="7"/>
      <c r="E57" s="7"/>
      <c r="F57" s="7" t="s">
        <v>1183</v>
      </c>
      <c r="G57" s="6" t="s">
        <v>161</v>
      </c>
      <c r="H57" s="7" t="s">
        <v>13</v>
      </c>
      <c r="I57" s="8" t="s">
        <v>162</v>
      </c>
      <c r="J57" s="9">
        <v>2040</v>
      </c>
      <c r="K57" s="15">
        <v>598</v>
      </c>
      <c r="L57" s="6"/>
      <c r="M57" s="31"/>
      <c r="N57" s="11">
        <f>K57</f>
        <v>598</v>
      </c>
    </row>
    <row r="58" spans="1:14" x14ac:dyDescent="0.25">
      <c r="A58" s="6" t="s">
        <v>163</v>
      </c>
      <c r="B58" s="7">
        <f t="shared" ca="1" si="10"/>
        <v>178</v>
      </c>
      <c r="C58" s="12">
        <v>6</v>
      </c>
      <c r="D58" s="10">
        <v>49.9</v>
      </c>
      <c r="E58" s="10">
        <f>D58*C58</f>
        <v>299.39999999999998</v>
      </c>
      <c r="F58" s="7" t="s">
        <v>1183</v>
      </c>
      <c r="G58" s="6" t="s">
        <v>164</v>
      </c>
      <c r="H58" s="7" t="s">
        <v>1197</v>
      </c>
      <c r="I58" s="8" t="s">
        <v>165</v>
      </c>
      <c r="J58" s="9">
        <v>2640</v>
      </c>
      <c r="K58" s="15">
        <v>598</v>
      </c>
      <c r="L58" s="11">
        <f>E58</f>
        <v>299.39999999999998</v>
      </c>
      <c r="M58" s="31">
        <f>Tabela2[[#This Row],[R$TOTAL FÉRIAS FACIL ]]-Tabela2[[#This Row],[R$ PARCELADO]]</f>
        <v>298.60000000000002</v>
      </c>
      <c r="N58" s="6"/>
    </row>
    <row r="59" spans="1:14" x14ac:dyDescent="0.25">
      <c r="A59" s="6" t="s">
        <v>166</v>
      </c>
      <c r="B59" s="6"/>
      <c r="C59" s="6"/>
      <c r="D59" s="6"/>
      <c r="E59" s="6"/>
      <c r="F59" s="7" t="s">
        <v>1183</v>
      </c>
      <c r="G59" s="6" t="s">
        <v>167</v>
      </c>
      <c r="H59" s="7" t="s">
        <v>13</v>
      </c>
      <c r="I59" s="8" t="s">
        <v>162</v>
      </c>
      <c r="J59" s="9">
        <v>2244</v>
      </c>
      <c r="K59" s="15">
        <v>598</v>
      </c>
      <c r="L59" s="6"/>
      <c r="M59" s="31"/>
      <c r="N59" s="11">
        <f>K59</f>
        <v>598</v>
      </c>
    </row>
    <row r="60" spans="1:14" x14ac:dyDescent="0.25">
      <c r="A60" s="6" t="s">
        <v>168</v>
      </c>
      <c r="B60" s="7">
        <f t="shared" ref="B60:B99" ca="1" si="19">$I$1-I60</f>
        <v>178</v>
      </c>
      <c r="C60" s="12">
        <v>6</v>
      </c>
      <c r="D60" s="10">
        <v>49.9</v>
      </c>
      <c r="E60" s="10">
        <f>D60*C60</f>
        <v>299.39999999999998</v>
      </c>
      <c r="F60" s="7" t="s">
        <v>1183</v>
      </c>
      <c r="G60" s="6" t="s">
        <v>169</v>
      </c>
      <c r="H60" s="7" t="s">
        <v>1197</v>
      </c>
      <c r="I60" s="8" t="s">
        <v>165</v>
      </c>
      <c r="J60" s="9">
        <v>2640</v>
      </c>
      <c r="K60" s="15">
        <v>598</v>
      </c>
      <c r="L60" s="11">
        <f>E60</f>
        <v>299.39999999999998</v>
      </c>
      <c r="M60" s="31">
        <f>Tabela2[[#This Row],[R$TOTAL FÉRIAS FACIL ]]-Tabela2[[#This Row],[R$ PARCELADO]]</f>
        <v>298.60000000000002</v>
      </c>
      <c r="N60" s="6"/>
    </row>
    <row r="61" spans="1:14" x14ac:dyDescent="0.25">
      <c r="A61" s="6" t="s">
        <v>171</v>
      </c>
      <c r="B61" s="7">
        <f t="shared" ca="1" si="19"/>
        <v>178</v>
      </c>
      <c r="C61" s="7"/>
      <c r="D61" s="7"/>
      <c r="E61" s="7"/>
      <c r="F61" s="7" t="s">
        <v>1183</v>
      </c>
      <c r="G61" s="6" t="s">
        <v>172</v>
      </c>
      <c r="H61" s="7" t="s">
        <v>13</v>
      </c>
      <c r="I61" s="8" t="s">
        <v>165</v>
      </c>
      <c r="J61" s="9">
        <v>2244</v>
      </c>
      <c r="K61" s="15">
        <v>598</v>
      </c>
      <c r="L61" s="6"/>
      <c r="M61" s="31"/>
      <c r="N61" s="11">
        <f t="shared" ref="N61:N62" si="20">K61</f>
        <v>598</v>
      </c>
    </row>
    <row r="62" spans="1:14" x14ac:dyDescent="0.25">
      <c r="A62" s="6" t="s">
        <v>173</v>
      </c>
      <c r="B62" s="7">
        <f t="shared" ca="1" si="19"/>
        <v>173</v>
      </c>
      <c r="C62" s="7"/>
      <c r="D62" s="7"/>
      <c r="E62" s="7"/>
      <c r="F62" s="7" t="s">
        <v>1183</v>
      </c>
      <c r="G62" s="6" t="s">
        <v>174</v>
      </c>
      <c r="H62" s="7" t="s">
        <v>13</v>
      </c>
      <c r="I62" s="8" t="s">
        <v>175</v>
      </c>
      <c r="J62" s="9">
        <v>2244</v>
      </c>
      <c r="K62" s="15">
        <v>598</v>
      </c>
      <c r="L62" s="6"/>
      <c r="M62" s="31"/>
      <c r="N62" s="11">
        <f t="shared" si="20"/>
        <v>598</v>
      </c>
    </row>
    <row r="63" spans="1:14" x14ac:dyDescent="0.25">
      <c r="A63" s="6" t="s">
        <v>176</v>
      </c>
      <c r="B63" s="7">
        <f t="shared" ca="1" si="19"/>
        <v>141</v>
      </c>
      <c r="C63" s="12">
        <v>5</v>
      </c>
      <c r="D63" s="10">
        <v>49.9</v>
      </c>
      <c r="E63" s="10">
        <f t="shared" ref="E63:E70" si="21">D63*C63</f>
        <v>249.5</v>
      </c>
      <c r="F63" s="7" t="s">
        <v>1183</v>
      </c>
      <c r="G63" s="6" t="s">
        <v>177</v>
      </c>
      <c r="H63" s="7" t="s">
        <v>1197</v>
      </c>
      <c r="I63" s="8" t="s">
        <v>53</v>
      </c>
      <c r="J63" s="9">
        <v>2840</v>
      </c>
      <c r="K63" s="15">
        <v>598</v>
      </c>
      <c r="L63" s="11">
        <f t="shared" ref="L63:L70" si="22">E63</f>
        <v>249.5</v>
      </c>
      <c r="M63" s="31">
        <f>Tabela2[[#This Row],[R$TOTAL FÉRIAS FACIL ]]-Tabela2[[#This Row],[R$ PARCELADO]]</f>
        <v>348.5</v>
      </c>
      <c r="N63" s="6"/>
    </row>
    <row r="64" spans="1:14" x14ac:dyDescent="0.25">
      <c r="A64" s="6" t="s">
        <v>179</v>
      </c>
      <c r="B64" s="7">
        <f t="shared" ca="1" si="19"/>
        <v>137</v>
      </c>
      <c r="C64" s="12">
        <v>5</v>
      </c>
      <c r="D64" s="10">
        <v>49.9</v>
      </c>
      <c r="E64" s="10">
        <f t="shared" si="21"/>
        <v>249.5</v>
      </c>
      <c r="F64" s="7" t="s">
        <v>1183</v>
      </c>
      <c r="G64" s="6" t="s">
        <v>180</v>
      </c>
      <c r="H64" s="7" t="s">
        <v>1197</v>
      </c>
      <c r="I64" s="8" t="s">
        <v>66</v>
      </c>
      <c r="J64" s="9">
        <v>2840</v>
      </c>
      <c r="K64" s="15">
        <v>598</v>
      </c>
      <c r="L64" s="11">
        <f t="shared" si="22"/>
        <v>249.5</v>
      </c>
      <c r="M64" s="31">
        <f>Tabela2[[#This Row],[R$TOTAL FÉRIAS FACIL ]]-Tabela2[[#This Row],[R$ PARCELADO]]</f>
        <v>348.5</v>
      </c>
      <c r="N64" s="6"/>
    </row>
    <row r="65" spans="1:14" x14ac:dyDescent="0.25">
      <c r="A65" s="6" t="s">
        <v>181</v>
      </c>
      <c r="B65" s="7">
        <f t="shared" ca="1" si="19"/>
        <v>150</v>
      </c>
      <c r="C65" s="12">
        <v>5</v>
      </c>
      <c r="D65" s="10">
        <v>49.9</v>
      </c>
      <c r="E65" s="10">
        <f t="shared" si="21"/>
        <v>249.5</v>
      </c>
      <c r="F65" s="7" t="s">
        <v>1183</v>
      </c>
      <c r="G65" s="6" t="s">
        <v>182</v>
      </c>
      <c r="H65" s="7" t="s">
        <v>1197</v>
      </c>
      <c r="I65" s="8" t="s">
        <v>183</v>
      </c>
      <c r="J65" s="9">
        <v>2640</v>
      </c>
      <c r="K65" s="15">
        <v>598</v>
      </c>
      <c r="L65" s="11">
        <f t="shared" si="22"/>
        <v>249.5</v>
      </c>
      <c r="M65" s="31">
        <f>Tabela2[[#This Row],[R$TOTAL FÉRIAS FACIL ]]-Tabela2[[#This Row],[R$ PARCELADO]]</f>
        <v>348.5</v>
      </c>
      <c r="N65" s="6"/>
    </row>
    <row r="66" spans="1:14" x14ac:dyDescent="0.25">
      <c r="A66" s="6" t="s">
        <v>184</v>
      </c>
      <c r="B66" s="7">
        <f t="shared" ca="1" si="19"/>
        <v>87</v>
      </c>
      <c r="C66" s="7">
        <v>3</v>
      </c>
      <c r="D66" s="10">
        <v>49.9</v>
      </c>
      <c r="E66" s="10">
        <f t="shared" si="21"/>
        <v>149.69999999999999</v>
      </c>
      <c r="F66" s="7" t="s">
        <v>1183</v>
      </c>
      <c r="G66" s="6" t="s">
        <v>186</v>
      </c>
      <c r="H66" s="7" t="s">
        <v>1197</v>
      </c>
      <c r="I66" s="8" t="s">
        <v>187</v>
      </c>
      <c r="J66" s="9">
        <v>2640</v>
      </c>
      <c r="K66" s="15">
        <v>598</v>
      </c>
      <c r="L66" s="11">
        <f t="shared" si="22"/>
        <v>149.69999999999999</v>
      </c>
      <c r="M66" s="31">
        <f>Tabela2[[#This Row],[R$TOTAL FÉRIAS FACIL ]]-Tabela2[[#This Row],[R$ PARCELADO]]</f>
        <v>448.3</v>
      </c>
      <c r="N66" s="6"/>
    </row>
    <row r="67" spans="1:14" x14ac:dyDescent="0.25">
      <c r="A67" s="6" t="s">
        <v>188</v>
      </c>
      <c r="B67" s="7">
        <f t="shared" ca="1" si="19"/>
        <v>102</v>
      </c>
      <c r="C67" s="7">
        <v>3</v>
      </c>
      <c r="D67" s="10">
        <v>49.9</v>
      </c>
      <c r="E67" s="10">
        <f t="shared" si="21"/>
        <v>149.69999999999999</v>
      </c>
      <c r="F67" s="7" t="s">
        <v>1183</v>
      </c>
      <c r="G67" s="6" t="s">
        <v>189</v>
      </c>
      <c r="H67" s="7" t="s">
        <v>1197</v>
      </c>
      <c r="I67" s="8" t="s">
        <v>191</v>
      </c>
      <c r="J67" s="9">
        <v>2640</v>
      </c>
      <c r="K67" s="15">
        <v>598</v>
      </c>
      <c r="L67" s="11">
        <f t="shared" si="22"/>
        <v>149.69999999999999</v>
      </c>
      <c r="M67" s="31">
        <f>Tabela2[[#This Row],[R$TOTAL FÉRIAS FACIL ]]-Tabela2[[#This Row],[R$ PARCELADO]]</f>
        <v>448.3</v>
      </c>
      <c r="N67" s="6"/>
    </row>
    <row r="68" spans="1:14" x14ac:dyDescent="0.25">
      <c r="A68" s="6" t="s">
        <v>192</v>
      </c>
      <c r="B68" s="7">
        <f t="shared" ca="1" si="19"/>
        <v>162</v>
      </c>
      <c r="C68" s="12">
        <v>5</v>
      </c>
      <c r="D68" s="10">
        <v>49.9</v>
      </c>
      <c r="E68" s="10">
        <f t="shared" si="21"/>
        <v>249.5</v>
      </c>
      <c r="F68" s="7" t="s">
        <v>1183</v>
      </c>
      <c r="G68" s="6" t="s">
        <v>193</v>
      </c>
      <c r="H68" s="7" t="s">
        <v>1197</v>
      </c>
      <c r="I68" s="8" t="s">
        <v>195</v>
      </c>
      <c r="J68" s="9">
        <v>2640</v>
      </c>
      <c r="K68" s="15">
        <v>598</v>
      </c>
      <c r="L68" s="11">
        <f t="shared" si="22"/>
        <v>249.5</v>
      </c>
      <c r="M68" s="31">
        <f>Tabela2[[#This Row],[R$TOTAL FÉRIAS FACIL ]]-Tabela2[[#This Row],[R$ PARCELADO]]</f>
        <v>348.5</v>
      </c>
      <c r="N68" s="6"/>
    </row>
    <row r="69" spans="1:14" x14ac:dyDescent="0.25">
      <c r="A69" s="6" t="s">
        <v>196</v>
      </c>
      <c r="B69" s="7">
        <f t="shared" ca="1" si="19"/>
        <v>151</v>
      </c>
      <c r="C69" s="12">
        <v>5</v>
      </c>
      <c r="D69" s="10">
        <v>49.9</v>
      </c>
      <c r="E69" s="10">
        <f t="shared" si="21"/>
        <v>249.5</v>
      </c>
      <c r="F69" s="7" t="s">
        <v>1183</v>
      </c>
      <c r="G69" s="6" t="s">
        <v>197</v>
      </c>
      <c r="H69" s="7" t="s">
        <v>1197</v>
      </c>
      <c r="I69" s="8" t="s">
        <v>198</v>
      </c>
      <c r="J69" s="9">
        <v>2840</v>
      </c>
      <c r="K69" s="15">
        <v>598</v>
      </c>
      <c r="L69" s="11">
        <f t="shared" si="22"/>
        <v>249.5</v>
      </c>
      <c r="M69" s="31">
        <f>Tabela2[[#This Row],[R$TOTAL FÉRIAS FACIL ]]-Tabela2[[#This Row],[R$ PARCELADO]]</f>
        <v>348.5</v>
      </c>
      <c r="N69" s="6"/>
    </row>
    <row r="70" spans="1:14" x14ac:dyDescent="0.25">
      <c r="A70" s="6" t="s">
        <v>199</v>
      </c>
      <c r="B70" s="7">
        <f t="shared" ca="1" si="19"/>
        <v>173</v>
      </c>
      <c r="C70" s="12">
        <v>6</v>
      </c>
      <c r="D70" s="10">
        <v>49.9</v>
      </c>
      <c r="E70" s="10">
        <f t="shared" si="21"/>
        <v>299.39999999999998</v>
      </c>
      <c r="F70" s="7" t="s">
        <v>1183</v>
      </c>
      <c r="G70" s="6" t="s">
        <v>200</v>
      </c>
      <c r="H70" s="7" t="s">
        <v>1197</v>
      </c>
      <c r="I70" s="8" t="s">
        <v>175</v>
      </c>
      <c r="J70" s="9">
        <v>2640</v>
      </c>
      <c r="K70" s="15">
        <v>598</v>
      </c>
      <c r="L70" s="11">
        <f t="shared" si="22"/>
        <v>299.39999999999998</v>
      </c>
      <c r="M70" s="31">
        <f>Tabela2[[#This Row],[R$TOTAL FÉRIAS FACIL ]]-Tabela2[[#This Row],[R$ PARCELADO]]</f>
        <v>298.60000000000002</v>
      </c>
      <c r="N70" s="6"/>
    </row>
    <row r="71" spans="1:14" x14ac:dyDescent="0.25">
      <c r="A71" s="6" t="s">
        <v>202</v>
      </c>
      <c r="B71" s="7">
        <f t="shared" ca="1" si="19"/>
        <v>142</v>
      </c>
      <c r="C71" s="7"/>
      <c r="D71" s="7"/>
      <c r="E71" s="7"/>
      <c r="F71" s="7" t="s">
        <v>1183</v>
      </c>
      <c r="G71" s="6" t="s">
        <v>203</v>
      </c>
      <c r="H71" s="7" t="s">
        <v>13</v>
      </c>
      <c r="I71" s="8" t="s">
        <v>204</v>
      </c>
      <c r="J71" s="9">
        <v>2040</v>
      </c>
      <c r="K71" s="15">
        <v>598</v>
      </c>
      <c r="L71" s="6"/>
      <c r="M71" s="31"/>
      <c r="N71" s="11">
        <f>K71</f>
        <v>598</v>
      </c>
    </row>
    <row r="72" spans="1:14" x14ac:dyDescent="0.25">
      <c r="A72" s="6" t="s">
        <v>205</v>
      </c>
      <c r="B72" s="7">
        <f t="shared" ca="1" si="19"/>
        <v>173</v>
      </c>
      <c r="C72" s="12">
        <v>6</v>
      </c>
      <c r="D72" s="10">
        <v>49.9</v>
      </c>
      <c r="E72" s="10">
        <f t="shared" ref="E72:E73" si="23">D72*C72</f>
        <v>299.39999999999998</v>
      </c>
      <c r="F72" s="7" t="s">
        <v>1183</v>
      </c>
      <c r="G72" s="6" t="s">
        <v>206</v>
      </c>
      <c r="H72" s="7" t="s">
        <v>1197</v>
      </c>
      <c r="I72" s="8" t="s">
        <v>175</v>
      </c>
      <c r="J72" s="9">
        <v>2640</v>
      </c>
      <c r="K72" s="15">
        <v>598</v>
      </c>
      <c r="L72" s="11">
        <f t="shared" ref="L72:L73" si="24">E72</f>
        <v>299.39999999999998</v>
      </c>
      <c r="M72" s="31">
        <f>Tabela2[[#This Row],[R$TOTAL FÉRIAS FACIL ]]-Tabela2[[#This Row],[R$ PARCELADO]]</f>
        <v>298.60000000000002</v>
      </c>
      <c r="N72" s="6"/>
    </row>
    <row r="73" spans="1:14" x14ac:dyDescent="0.25">
      <c r="A73" s="6" t="s">
        <v>207</v>
      </c>
      <c r="B73" s="7">
        <f t="shared" ca="1" si="19"/>
        <v>143</v>
      </c>
      <c r="C73" s="12">
        <v>5</v>
      </c>
      <c r="D73" s="10">
        <v>49.9</v>
      </c>
      <c r="E73" s="10">
        <f t="shared" si="23"/>
        <v>249.5</v>
      </c>
      <c r="F73" s="7" t="s">
        <v>1183</v>
      </c>
      <c r="G73" s="6" t="s">
        <v>208</v>
      </c>
      <c r="H73" s="7" t="s">
        <v>1197</v>
      </c>
      <c r="I73" s="8" t="s">
        <v>210</v>
      </c>
      <c r="J73" s="9">
        <v>2840</v>
      </c>
      <c r="K73" s="15">
        <v>598</v>
      </c>
      <c r="L73" s="11">
        <f t="shared" si="24"/>
        <v>249.5</v>
      </c>
      <c r="M73" s="31">
        <f>Tabela2[[#This Row],[R$TOTAL FÉRIAS FACIL ]]-Tabela2[[#This Row],[R$ PARCELADO]]</f>
        <v>348.5</v>
      </c>
      <c r="N73" s="6"/>
    </row>
    <row r="74" spans="1:14" x14ac:dyDescent="0.25">
      <c r="A74" s="6" t="s">
        <v>211</v>
      </c>
      <c r="B74" s="7">
        <f t="shared" ca="1" si="19"/>
        <v>138</v>
      </c>
      <c r="C74" s="7"/>
      <c r="D74" s="7"/>
      <c r="E74" s="7"/>
      <c r="F74" s="7" t="s">
        <v>1183</v>
      </c>
      <c r="G74" s="6" t="s">
        <v>213</v>
      </c>
      <c r="H74" s="7" t="s">
        <v>13</v>
      </c>
      <c r="I74" s="8" t="s">
        <v>59</v>
      </c>
      <c r="J74" s="9">
        <v>2244</v>
      </c>
      <c r="K74" s="15">
        <v>598</v>
      </c>
      <c r="L74" s="6"/>
      <c r="M74" s="31"/>
      <c r="N74" s="11">
        <f t="shared" ref="N74:N76" si="25">K74</f>
        <v>598</v>
      </c>
    </row>
    <row r="75" spans="1:14" x14ac:dyDescent="0.25">
      <c r="A75" s="6" t="s">
        <v>214</v>
      </c>
      <c r="B75" s="7">
        <f t="shared" ca="1" si="19"/>
        <v>165</v>
      </c>
      <c r="C75" s="7"/>
      <c r="D75" s="7"/>
      <c r="E75" s="7"/>
      <c r="F75" s="7" t="s">
        <v>1183</v>
      </c>
      <c r="G75" s="6" t="s">
        <v>215</v>
      </c>
      <c r="H75" s="7" t="s">
        <v>13</v>
      </c>
      <c r="I75" s="8" t="s">
        <v>150</v>
      </c>
      <c r="J75" s="9">
        <v>2040</v>
      </c>
      <c r="K75" s="15">
        <v>598</v>
      </c>
      <c r="L75" s="6"/>
      <c r="M75" s="31"/>
      <c r="N75" s="11">
        <f t="shared" si="25"/>
        <v>598</v>
      </c>
    </row>
    <row r="76" spans="1:14" x14ac:dyDescent="0.25">
      <c r="A76" s="6" t="s">
        <v>216</v>
      </c>
      <c r="B76" s="7">
        <f t="shared" ca="1" si="19"/>
        <v>166</v>
      </c>
      <c r="C76" s="7"/>
      <c r="D76" s="7"/>
      <c r="E76" s="7"/>
      <c r="F76" s="7" t="s">
        <v>1183</v>
      </c>
      <c r="G76" s="6" t="s">
        <v>217</v>
      </c>
      <c r="H76" s="7" t="s">
        <v>13</v>
      </c>
      <c r="I76" s="8" t="s">
        <v>32</v>
      </c>
      <c r="J76" s="9">
        <v>2040</v>
      </c>
      <c r="K76" s="15">
        <v>598</v>
      </c>
      <c r="L76" s="6"/>
      <c r="M76" s="31"/>
      <c r="N76" s="11">
        <f t="shared" si="25"/>
        <v>598</v>
      </c>
    </row>
    <row r="77" spans="1:14" x14ac:dyDescent="0.25">
      <c r="A77" s="6" t="s">
        <v>218</v>
      </c>
      <c r="B77" s="7">
        <f t="shared" ca="1" si="19"/>
        <v>132</v>
      </c>
      <c r="C77" s="12">
        <v>4</v>
      </c>
      <c r="D77" s="10">
        <v>49.9</v>
      </c>
      <c r="E77" s="10">
        <f t="shared" ref="E77:E79" si="26">D77*C77</f>
        <v>199.6</v>
      </c>
      <c r="F77" s="7" t="s">
        <v>1183</v>
      </c>
      <c r="G77" s="6" t="s">
        <v>219</v>
      </c>
      <c r="H77" s="7" t="s">
        <v>1197</v>
      </c>
      <c r="I77" s="8" t="s">
        <v>8</v>
      </c>
      <c r="J77" s="9">
        <v>2640</v>
      </c>
      <c r="K77" s="15">
        <v>598</v>
      </c>
      <c r="L77" s="11">
        <f t="shared" ref="L77:L79" si="27">E77</f>
        <v>199.6</v>
      </c>
      <c r="M77" s="31">
        <f>Tabela2[[#This Row],[R$TOTAL FÉRIAS FACIL ]]-Tabela2[[#This Row],[R$ PARCELADO]]</f>
        <v>398.4</v>
      </c>
      <c r="N77" s="6"/>
    </row>
    <row r="78" spans="1:14" x14ac:dyDescent="0.25">
      <c r="A78" s="6" t="s">
        <v>220</v>
      </c>
      <c r="B78" s="7">
        <f t="shared" ca="1" si="19"/>
        <v>151</v>
      </c>
      <c r="C78" s="12">
        <v>5</v>
      </c>
      <c r="D78" s="10">
        <v>49.9</v>
      </c>
      <c r="E78" s="10">
        <f t="shared" si="26"/>
        <v>249.5</v>
      </c>
      <c r="F78" s="7" t="s">
        <v>1183</v>
      </c>
      <c r="G78" s="6" t="s">
        <v>221</v>
      </c>
      <c r="H78" s="7" t="s">
        <v>1197</v>
      </c>
      <c r="I78" s="8" t="s">
        <v>198</v>
      </c>
      <c r="J78" s="9">
        <v>2640</v>
      </c>
      <c r="K78" s="15">
        <v>598</v>
      </c>
      <c r="L78" s="11">
        <f t="shared" si="27"/>
        <v>249.5</v>
      </c>
      <c r="M78" s="31">
        <f>Tabela2[[#This Row],[R$TOTAL FÉRIAS FACIL ]]-Tabela2[[#This Row],[R$ PARCELADO]]</f>
        <v>348.5</v>
      </c>
      <c r="N78" s="6"/>
    </row>
    <row r="79" spans="1:14" x14ac:dyDescent="0.25">
      <c r="A79" s="6" t="s">
        <v>222</v>
      </c>
      <c r="B79" s="7">
        <f t="shared" ca="1" si="19"/>
        <v>132</v>
      </c>
      <c r="C79" s="12">
        <v>4</v>
      </c>
      <c r="D79" s="10">
        <v>49.9</v>
      </c>
      <c r="E79" s="10">
        <f t="shared" si="26"/>
        <v>199.6</v>
      </c>
      <c r="F79" s="7" t="s">
        <v>1183</v>
      </c>
      <c r="G79" s="6" t="s">
        <v>223</v>
      </c>
      <c r="H79" s="7" t="s">
        <v>1197</v>
      </c>
      <c r="I79" s="8" t="s">
        <v>8</v>
      </c>
      <c r="J79" s="9">
        <v>2840</v>
      </c>
      <c r="K79" s="15">
        <v>598</v>
      </c>
      <c r="L79" s="11">
        <f t="shared" si="27"/>
        <v>199.6</v>
      </c>
      <c r="M79" s="31">
        <f>Tabela2[[#This Row],[R$TOTAL FÉRIAS FACIL ]]-Tabela2[[#This Row],[R$ PARCELADO]]</f>
        <v>398.4</v>
      </c>
      <c r="N79" s="6"/>
    </row>
    <row r="80" spans="1:14" x14ac:dyDescent="0.25">
      <c r="A80" s="6" t="s">
        <v>224</v>
      </c>
      <c r="B80" s="7">
        <f t="shared" ca="1" si="19"/>
        <v>116</v>
      </c>
      <c r="C80" s="7"/>
      <c r="D80" s="7"/>
      <c r="E80" s="7"/>
      <c r="F80" s="7" t="s">
        <v>1183</v>
      </c>
      <c r="G80" s="6" t="s">
        <v>225</v>
      </c>
      <c r="H80" s="7" t="s">
        <v>13</v>
      </c>
      <c r="I80" s="8" t="s">
        <v>226</v>
      </c>
      <c r="J80" s="9">
        <v>2040</v>
      </c>
      <c r="K80" s="15">
        <v>598</v>
      </c>
      <c r="L80" s="6"/>
      <c r="M80" s="31"/>
      <c r="N80" s="11">
        <f>K80</f>
        <v>598</v>
      </c>
    </row>
    <row r="81" spans="1:14" x14ac:dyDescent="0.25">
      <c r="A81" s="6" t="s">
        <v>227</v>
      </c>
      <c r="B81" s="7">
        <f t="shared" ca="1" si="19"/>
        <v>164</v>
      </c>
      <c r="C81" s="12">
        <v>5</v>
      </c>
      <c r="D81" s="10">
        <v>49.9</v>
      </c>
      <c r="E81" s="10">
        <f>D81*C81</f>
        <v>249.5</v>
      </c>
      <c r="F81" s="7" t="s">
        <v>1183</v>
      </c>
      <c r="G81" s="6" t="s">
        <v>228</v>
      </c>
      <c r="H81" s="7" t="s">
        <v>1197</v>
      </c>
      <c r="I81" s="8" t="s">
        <v>230</v>
      </c>
      <c r="J81" s="9">
        <v>2640</v>
      </c>
      <c r="K81" s="15">
        <v>598</v>
      </c>
      <c r="L81" s="11">
        <f>E81</f>
        <v>249.5</v>
      </c>
      <c r="M81" s="31">
        <f>Tabela2[[#This Row],[R$TOTAL FÉRIAS FACIL ]]-Tabela2[[#This Row],[R$ PARCELADO]]</f>
        <v>348.5</v>
      </c>
      <c r="N81" s="6"/>
    </row>
    <row r="82" spans="1:14" x14ac:dyDescent="0.25">
      <c r="A82" s="6" t="s">
        <v>231</v>
      </c>
      <c r="B82" s="7">
        <f t="shared" ca="1" si="19"/>
        <v>158</v>
      </c>
      <c r="C82" s="7"/>
      <c r="D82" s="7"/>
      <c r="E82" s="7"/>
      <c r="F82" s="7" t="s">
        <v>1183</v>
      </c>
      <c r="G82" s="6" t="s">
        <v>232</v>
      </c>
      <c r="H82" s="7" t="s">
        <v>13</v>
      </c>
      <c r="I82" s="8" t="s">
        <v>233</v>
      </c>
      <c r="J82" s="9">
        <v>2244</v>
      </c>
      <c r="K82" s="15">
        <v>598</v>
      </c>
      <c r="L82" s="6"/>
      <c r="M82" s="31"/>
      <c r="N82" s="11">
        <f>K82</f>
        <v>598</v>
      </c>
    </row>
    <row r="83" spans="1:14" x14ac:dyDescent="0.25">
      <c r="A83" s="6" t="s">
        <v>234</v>
      </c>
      <c r="B83" s="7">
        <f t="shared" ca="1" si="19"/>
        <v>107</v>
      </c>
      <c r="C83" s="12">
        <v>4</v>
      </c>
      <c r="D83" s="10">
        <v>49.9</v>
      </c>
      <c r="E83" s="10">
        <f t="shared" ref="E83:E86" si="28">D83*C83</f>
        <v>199.6</v>
      </c>
      <c r="F83" s="7" t="s">
        <v>1183</v>
      </c>
      <c r="G83" s="6" t="s">
        <v>236</v>
      </c>
      <c r="H83" s="7" t="s">
        <v>1197</v>
      </c>
      <c r="I83" s="8" t="s">
        <v>93</v>
      </c>
      <c r="J83" s="9">
        <v>2840</v>
      </c>
      <c r="K83" s="15">
        <v>598</v>
      </c>
      <c r="L83" s="11">
        <f t="shared" ref="L83:L86" si="29">E83</f>
        <v>199.6</v>
      </c>
      <c r="M83" s="31">
        <f>Tabela2[[#This Row],[R$TOTAL FÉRIAS FACIL ]]-Tabela2[[#This Row],[R$ PARCELADO]]</f>
        <v>398.4</v>
      </c>
      <c r="N83" s="6"/>
    </row>
    <row r="84" spans="1:14" x14ac:dyDescent="0.25">
      <c r="A84" s="6" t="s">
        <v>238</v>
      </c>
      <c r="B84" s="7">
        <f t="shared" ca="1" si="19"/>
        <v>152</v>
      </c>
      <c r="C84" s="12">
        <v>5</v>
      </c>
      <c r="D84" s="10">
        <v>49.9</v>
      </c>
      <c r="E84" s="10">
        <f t="shared" si="28"/>
        <v>249.5</v>
      </c>
      <c r="F84" s="7" t="s">
        <v>1183</v>
      </c>
      <c r="G84" s="6" t="s">
        <v>239</v>
      </c>
      <c r="H84" s="7" t="s">
        <v>1197</v>
      </c>
      <c r="I84" s="8" t="s">
        <v>45</v>
      </c>
      <c r="J84" s="9">
        <v>5244</v>
      </c>
      <c r="K84" s="15">
        <v>598</v>
      </c>
      <c r="L84" s="11">
        <f t="shared" si="29"/>
        <v>249.5</v>
      </c>
      <c r="M84" s="31">
        <f>Tabela2[[#This Row],[R$TOTAL FÉRIAS FACIL ]]-Tabela2[[#This Row],[R$ PARCELADO]]</f>
        <v>348.5</v>
      </c>
      <c r="N84" s="6"/>
    </row>
    <row r="85" spans="1:14" x14ac:dyDescent="0.25">
      <c r="A85" s="6" t="s">
        <v>240</v>
      </c>
      <c r="B85" s="7">
        <f t="shared" ca="1" si="19"/>
        <v>139</v>
      </c>
      <c r="C85" s="12">
        <v>5</v>
      </c>
      <c r="D85" s="10">
        <v>49.9</v>
      </c>
      <c r="E85" s="10">
        <f t="shared" si="28"/>
        <v>249.5</v>
      </c>
      <c r="F85" s="7" t="s">
        <v>1183</v>
      </c>
      <c r="G85" s="6" t="s">
        <v>241</v>
      </c>
      <c r="H85" s="7" t="s">
        <v>1197</v>
      </c>
      <c r="I85" s="8" t="s">
        <v>61</v>
      </c>
      <c r="J85" s="9">
        <v>2640</v>
      </c>
      <c r="K85" s="15">
        <v>598</v>
      </c>
      <c r="L85" s="11">
        <f t="shared" si="29"/>
        <v>249.5</v>
      </c>
      <c r="M85" s="31">
        <f>Tabela2[[#This Row],[R$TOTAL FÉRIAS FACIL ]]-Tabela2[[#This Row],[R$ PARCELADO]]</f>
        <v>348.5</v>
      </c>
      <c r="N85" s="6"/>
    </row>
    <row r="86" spans="1:14" x14ac:dyDescent="0.25">
      <c r="A86" s="6" t="s">
        <v>242</v>
      </c>
      <c r="B86" s="7">
        <f t="shared" ca="1" si="19"/>
        <v>111</v>
      </c>
      <c r="C86" s="12">
        <v>4</v>
      </c>
      <c r="D86" s="10">
        <v>49.9</v>
      </c>
      <c r="E86" s="10">
        <f t="shared" si="28"/>
        <v>199.6</v>
      </c>
      <c r="F86" s="7" t="s">
        <v>1183</v>
      </c>
      <c r="G86" s="6" t="s">
        <v>243</v>
      </c>
      <c r="H86" s="7" t="s">
        <v>1197</v>
      </c>
      <c r="I86" s="8" t="s">
        <v>91</v>
      </c>
      <c r="J86" s="9">
        <v>2840</v>
      </c>
      <c r="K86" s="15">
        <v>598</v>
      </c>
      <c r="L86" s="11">
        <f t="shared" si="29"/>
        <v>199.6</v>
      </c>
      <c r="M86" s="31">
        <f>Tabela2[[#This Row],[R$TOTAL FÉRIAS FACIL ]]-Tabela2[[#This Row],[R$ PARCELADO]]</f>
        <v>398.4</v>
      </c>
      <c r="N86" s="6"/>
    </row>
    <row r="87" spans="1:14" x14ac:dyDescent="0.25">
      <c r="A87" s="6" t="s">
        <v>244</v>
      </c>
      <c r="B87" s="7">
        <f t="shared" ca="1" si="19"/>
        <v>89</v>
      </c>
      <c r="C87" s="7"/>
      <c r="D87" s="7"/>
      <c r="E87" s="7"/>
      <c r="F87" s="7" t="s">
        <v>1183</v>
      </c>
      <c r="G87" s="6" t="s">
        <v>245</v>
      </c>
      <c r="H87" s="7" t="s">
        <v>13</v>
      </c>
      <c r="I87" s="8" t="s">
        <v>247</v>
      </c>
      <c r="J87" s="9">
        <v>2244</v>
      </c>
      <c r="K87" s="15">
        <v>598</v>
      </c>
      <c r="L87" s="6"/>
      <c r="M87" s="31"/>
      <c r="N87" s="11">
        <f>K87</f>
        <v>598</v>
      </c>
    </row>
    <row r="88" spans="1:14" x14ac:dyDescent="0.25">
      <c r="A88" s="6" t="s">
        <v>248</v>
      </c>
      <c r="B88" s="7">
        <f t="shared" ca="1" si="19"/>
        <v>154</v>
      </c>
      <c r="C88" s="12">
        <v>5</v>
      </c>
      <c r="D88" s="10">
        <v>49.9</v>
      </c>
      <c r="E88" s="10">
        <f t="shared" ref="E88:E94" si="30">D88*C88</f>
        <v>249.5</v>
      </c>
      <c r="F88" s="7" t="s">
        <v>1183</v>
      </c>
      <c r="G88" s="6" t="s">
        <v>249</v>
      </c>
      <c r="H88" s="7" t="s">
        <v>1197</v>
      </c>
      <c r="I88" s="8" t="s">
        <v>250</v>
      </c>
      <c r="J88" s="9">
        <v>2840</v>
      </c>
      <c r="K88" s="15">
        <v>598</v>
      </c>
      <c r="L88" s="11">
        <f t="shared" ref="L88:L94" si="31">E88</f>
        <v>249.5</v>
      </c>
      <c r="M88" s="31">
        <f>Tabela2[[#This Row],[R$TOTAL FÉRIAS FACIL ]]-Tabela2[[#This Row],[R$ PARCELADO]]</f>
        <v>348.5</v>
      </c>
      <c r="N88" s="6"/>
    </row>
    <row r="89" spans="1:14" x14ac:dyDescent="0.25">
      <c r="A89" s="6" t="s">
        <v>251</v>
      </c>
      <c r="B89" s="7">
        <f t="shared" ca="1" si="19"/>
        <v>133</v>
      </c>
      <c r="C89" s="12">
        <v>4</v>
      </c>
      <c r="D89" s="10">
        <v>49.9</v>
      </c>
      <c r="E89" s="10">
        <f t="shared" si="30"/>
        <v>199.6</v>
      </c>
      <c r="F89" s="7" t="s">
        <v>1183</v>
      </c>
      <c r="G89" s="6" t="s">
        <v>252</v>
      </c>
      <c r="H89" s="7" t="s">
        <v>1197</v>
      </c>
      <c r="I89" s="8" t="s">
        <v>209</v>
      </c>
      <c r="J89" s="9">
        <v>2640</v>
      </c>
      <c r="K89" s="15">
        <v>598</v>
      </c>
      <c r="L89" s="11">
        <f t="shared" si="31"/>
        <v>199.6</v>
      </c>
      <c r="M89" s="31">
        <f>Tabela2[[#This Row],[R$TOTAL FÉRIAS FACIL ]]-Tabela2[[#This Row],[R$ PARCELADO]]</f>
        <v>398.4</v>
      </c>
      <c r="N89" s="6"/>
    </row>
    <row r="90" spans="1:14" x14ac:dyDescent="0.25">
      <c r="A90" s="6" t="s">
        <v>253</v>
      </c>
      <c r="B90" s="7">
        <f t="shared" ca="1" si="19"/>
        <v>142</v>
      </c>
      <c r="C90" s="12">
        <v>5</v>
      </c>
      <c r="D90" s="10">
        <v>49.9</v>
      </c>
      <c r="E90" s="10">
        <f t="shared" si="30"/>
        <v>249.5</v>
      </c>
      <c r="F90" s="7" t="s">
        <v>1183</v>
      </c>
      <c r="G90" s="6" t="s">
        <v>255</v>
      </c>
      <c r="H90" s="7" t="s">
        <v>1197</v>
      </c>
      <c r="I90" s="8" t="s">
        <v>204</v>
      </c>
      <c r="J90" s="9">
        <v>2640</v>
      </c>
      <c r="K90" s="15">
        <v>598</v>
      </c>
      <c r="L90" s="11">
        <f t="shared" si="31"/>
        <v>249.5</v>
      </c>
      <c r="M90" s="31">
        <f>Tabela2[[#This Row],[R$TOTAL FÉRIAS FACIL ]]-Tabela2[[#This Row],[R$ PARCELADO]]</f>
        <v>348.5</v>
      </c>
      <c r="N90" s="6"/>
    </row>
    <row r="91" spans="1:14" x14ac:dyDescent="0.25">
      <c r="A91" s="6" t="s">
        <v>256</v>
      </c>
      <c r="B91" s="7">
        <f t="shared" ca="1" si="19"/>
        <v>143</v>
      </c>
      <c r="C91" s="12">
        <v>5</v>
      </c>
      <c r="D91" s="10">
        <v>49.9</v>
      </c>
      <c r="E91" s="10">
        <f t="shared" si="30"/>
        <v>249.5</v>
      </c>
      <c r="F91" s="7" t="s">
        <v>1183</v>
      </c>
      <c r="G91" s="6" t="s">
        <v>257</v>
      </c>
      <c r="H91" s="7" t="s">
        <v>1197</v>
      </c>
      <c r="I91" s="8" t="s">
        <v>210</v>
      </c>
      <c r="J91" s="9">
        <v>2840</v>
      </c>
      <c r="K91" s="15">
        <v>598</v>
      </c>
      <c r="L91" s="11">
        <f t="shared" si="31"/>
        <v>249.5</v>
      </c>
      <c r="M91" s="31">
        <f>Tabela2[[#This Row],[R$TOTAL FÉRIAS FACIL ]]-Tabela2[[#This Row],[R$ PARCELADO]]</f>
        <v>348.5</v>
      </c>
      <c r="N91" s="6"/>
    </row>
    <row r="92" spans="1:14" x14ac:dyDescent="0.25">
      <c r="A92" s="6" t="s">
        <v>258</v>
      </c>
      <c r="B92" s="7">
        <f t="shared" ca="1" si="19"/>
        <v>122</v>
      </c>
      <c r="C92" s="12">
        <v>4</v>
      </c>
      <c r="D92" s="10">
        <v>49.9</v>
      </c>
      <c r="E92" s="10">
        <f t="shared" si="30"/>
        <v>199.6</v>
      </c>
      <c r="F92" s="7" t="s">
        <v>1183</v>
      </c>
      <c r="G92" s="6" t="s">
        <v>259</v>
      </c>
      <c r="H92" s="7" t="s">
        <v>1197</v>
      </c>
      <c r="I92" s="8" t="s">
        <v>260</v>
      </c>
      <c r="J92" s="9">
        <v>2840</v>
      </c>
      <c r="K92" s="15">
        <v>598</v>
      </c>
      <c r="L92" s="11">
        <f t="shared" si="31"/>
        <v>199.6</v>
      </c>
      <c r="M92" s="31">
        <f>Tabela2[[#This Row],[R$TOTAL FÉRIAS FACIL ]]-Tabela2[[#This Row],[R$ PARCELADO]]</f>
        <v>398.4</v>
      </c>
      <c r="N92" s="6"/>
    </row>
    <row r="93" spans="1:14" x14ac:dyDescent="0.25">
      <c r="A93" s="6" t="s">
        <v>261</v>
      </c>
      <c r="B93" s="7">
        <f t="shared" ca="1" si="19"/>
        <v>137</v>
      </c>
      <c r="C93" s="12">
        <v>5</v>
      </c>
      <c r="D93" s="10">
        <v>49.9</v>
      </c>
      <c r="E93" s="10">
        <f t="shared" si="30"/>
        <v>249.5</v>
      </c>
      <c r="F93" s="7" t="s">
        <v>1183</v>
      </c>
      <c r="G93" s="6" t="s">
        <v>262</v>
      </c>
      <c r="H93" s="7" t="s">
        <v>1197</v>
      </c>
      <c r="I93" s="8" t="s">
        <v>66</v>
      </c>
      <c r="J93" s="9">
        <v>2640</v>
      </c>
      <c r="K93" s="15">
        <v>598</v>
      </c>
      <c r="L93" s="11">
        <f t="shared" si="31"/>
        <v>249.5</v>
      </c>
      <c r="M93" s="31">
        <f>Tabela2[[#This Row],[R$TOTAL FÉRIAS FACIL ]]-Tabela2[[#This Row],[R$ PARCELADO]]</f>
        <v>348.5</v>
      </c>
      <c r="N93" s="6"/>
    </row>
    <row r="94" spans="1:14" x14ac:dyDescent="0.25">
      <c r="A94" s="6" t="s">
        <v>263</v>
      </c>
      <c r="B94" s="7">
        <f t="shared" ca="1" si="19"/>
        <v>139</v>
      </c>
      <c r="C94" s="12">
        <v>5</v>
      </c>
      <c r="D94" s="10">
        <v>49.9</v>
      </c>
      <c r="E94" s="10">
        <f t="shared" si="30"/>
        <v>249.5</v>
      </c>
      <c r="F94" s="7" t="s">
        <v>1183</v>
      </c>
      <c r="G94" s="6" t="s">
        <v>264</v>
      </c>
      <c r="H94" s="7" t="s">
        <v>1197</v>
      </c>
      <c r="I94" s="8" t="s">
        <v>61</v>
      </c>
      <c r="J94" s="9">
        <v>2640</v>
      </c>
      <c r="K94" s="15">
        <v>598</v>
      </c>
      <c r="L94" s="11">
        <f t="shared" si="31"/>
        <v>249.5</v>
      </c>
      <c r="M94" s="31">
        <f>Tabela2[[#This Row],[R$TOTAL FÉRIAS FACIL ]]-Tabela2[[#This Row],[R$ PARCELADO]]</f>
        <v>348.5</v>
      </c>
      <c r="N94" s="6"/>
    </row>
    <row r="95" spans="1:14" x14ac:dyDescent="0.25">
      <c r="A95" s="6" t="s">
        <v>265</v>
      </c>
      <c r="B95" s="7">
        <f t="shared" ca="1" si="19"/>
        <v>85</v>
      </c>
      <c r="C95" s="7"/>
      <c r="D95" s="7"/>
      <c r="E95" s="7"/>
      <c r="F95" s="7" t="s">
        <v>1183</v>
      </c>
      <c r="G95" s="6" t="s">
        <v>266</v>
      </c>
      <c r="H95" s="7" t="s">
        <v>13</v>
      </c>
      <c r="I95" s="8" t="s">
        <v>24</v>
      </c>
      <c r="J95" s="9">
        <v>2244</v>
      </c>
      <c r="K95" s="15">
        <v>598</v>
      </c>
      <c r="L95" s="6"/>
      <c r="M95" s="31"/>
      <c r="N95" s="11">
        <f>K95</f>
        <v>598</v>
      </c>
    </row>
    <row r="96" spans="1:14" x14ac:dyDescent="0.25">
      <c r="A96" s="6" t="s">
        <v>267</v>
      </c>
      <c r="B96" s="7">
        <f t="shared" ca="1" si="19"/>
        <v>107</v>
      </c>
      <c r="C96" s="12">
        <v>4</v>
      </c>
      <c r="D96" s="10">
        <v>49.9</v>
      </c>
      <c r="E96" s="10">
        <f>D96*C96</f>
        <v>199.6</v>
      </c>
      <c r="F96" s="7" t="s">
        <v>1183</v>
      </c>
      <c r="G96" s="6" t="s">
        <v>268</v>
      </c>
      <c r="H96" s="7" t="s">
        <v>1197</v>
      </c>
      <c r="I96" s="8" t="s">
        <v>93</v>
      </c>
      <c r="J96" s="9">
        <v>2640</v>
      </c>
      <c r="K96" s="15">
        <v>598</v>
      </c>
      <c r="L96" s="11">
        <f>E96</f>
        <v>199.6</v>
      </c>
      <c r="M96" s="31">
        <f>Tabela2[[#This Row],[R$TOTAL FÉRIAS FACIL ]]-Tabela2[[#This Row],[R$ PARCELADO]]</f>
        <v>398.4</v>
      </c>
      <c r="N96" s="6"/>
    </row>
    <row r="97" spans="1:14" x14ac:dyDescent="0.25">
      <c r="A97" s="6" t="s">
        <v>269</v>
      </c>
      <c r="B97" s="7">
        <f t="shared" ca="1" si="19"/>
        <v>114</v>
      </c>
      <c r="C97" s="7"/>
      <c r="D97" s="7"/>
      <c r="E97" s="7"/>
      <c r="F97" s="7" t="s">
        <v>1183</v>
      </c>
      <c r="G97" s="6" t="s">
        <v>270</v>
      </c>
      <c r="H97" s="7" t="s">
        <v>13</v>
      </c>
      <c r="I97" s="8" t="s">
        <v>10</v>
      </c>
      <c r="J97" s="9">
        <v>2244</v>
      </c>
      <c r="K97" s="15">
        <v>598</v>
      </c>
      <c r="L97" s="6"/>
      <c r="M97" s="31"/>
      <c r="N97" s="11">
        <f t="shared" ref="N97:N99" si="32">K97</f>
        <v>598</v>
      </c>
    </row>
    <row r="98" spans="1:14" x14ac:dyDescent="0.25">
      <c r="A98" s="6" t="s">
        <v>271</v>
      </c>
      <c r="B98" s="7">
        <f t="shared" ca="1" si="19"/>
        <v>115</v>
      </c>
      <c r="C98" s="7"/>
      <c r="D98" s="7"/>
      <c r="E98" s="7"/>
      <c r="F98" s="7" t="s">
        <v>1183</v>
      </c>
      <c r="G98" s="6" t="s">
        <v>272</v>
      </c>
      <c r="H98" s="7" t="s">
        <v>13</v>
      </c>
      <c r="I98" s="8" t="s">
        <v>273</v>
      </c>
      <c r="J98" s="9">
        <v>2331.2399999999998</v>
      </c>
      <c r="K98" s="15">
        <v>598</v>
      </c>
      <c r="L98" s="6"/>
      <c r="M98" s="31"/>
      <c r="N98" s="11">
        <f t="shared" si="32"/>
        <v>598</v>
      </c>
    </row>
    <row r="99" spans="1:14" x14ac:dyDescent="0.25">
      <c r="A99" s="6" t="s">
        <v>274</v>
      </c>
      <c r="B99" s="7">
        <f t="shared" ca="1" si="19"/>
        <v>103</v>
      </c>
      <c r="C99" s="7"/>
      <c r="D99" s="7"/>
      <c r="E99" s="7"/>
      <c r="F99" s="7" t="s">
        <v>1183</v>
      </c>
      <c r="G99" s="6" t="s">
        <v>275</v>
      </c>
      <c r="H99" s="7" t="s">
        <v>13</v>
      </c>
      <c r="I99" s="8" t="s">
        <v>101</v>
      </c>
      <c r="J99" s="9">
        <v>2244</v>
      </c>
      <c r="K99" s="15">
        <v>598</v>
      </c>
      <c r="L99" s="6"/>
      <c r="M99" s="31"/>
      <c r="N99" s="11">
        <f t="shared" si="32"/>
        <v>598</v>
      </c>
    </row>
    <row r="100" spans="1:14" x14ac:dyDescent="0.25">
      <c r="A100" s="6" t="s">
        <v>276</v>
      </c>
      <c r="B100" s="6"/>
      <c r="C100" s="6"/>
      <c r="D100" s="6"/>
      <c r="E100" s="6"/>
      <c r="F100" s="7" t="s">
        <v>1183</v>
      </c>
      <c r="G100" s="6" t="s">
        <v>277</v>
      </c>
      <c r="H100" s="7" t="s">
        <v>13</v>
      </c>
      <c r="I100" s="8" t="s">
        <v>86</v>
      </c>
      <c r="J100" s="9">
        <v>2820</v>
      </c>
      <c r="K100" s="15">
        <v>598</v>
      </c>
      <c r="L100" s="6"/>
      <c r="M100" s="31"/>
      <c r="N100" s="11">
        <f>K100</f>
        <v>598</v>
      </c>
    </row>
    <row r="101" spans="1:14" x14ac:dyDescent="0.25">
      <c r="A101" s="6" t="s">
        <v>278</v>
      </c>
      <c r="B101" s="7">
        <f t="shared" ref="B101:B136" ca="1" si="33">$I$1-I101</f>
        <v>95</v>
      </c>
      <c r="C101" s="7">
        <v>3</v>
      </c>
      <c r="D101" s="10">
        <v>49.9</v>
      </c>
      <c r="E101" s="10">
        <f>D101*C101</f>
        <v>149.69999999999999</v>
      </c>
      <c r="F101" s="7" t="s">
        <v>1183</v>
      </c>
      <c r="G101" s="6" t="s">
        <v>279</v>
      </c>
      <c r="H101" s="7" t="s">
        <v>1197</v>
      </c>
      <c r="I101" s="8" t="s">
        <v>280</v>
      </c>
      <c r="J101" s="9">
        <v>2840</v>
      </c>
      <c r="K101" s="15">
        <v>598</v>
      </c>
      <c r="L101" s="11">
        <f>E101</f>
        <v>149.69999999999999</v>
      </c>
      <c r="M101" s="31">
        <f>Tabela2[[#This Row],[R$TOTAL FÉRIAS FACIL ]]-Tabela2[[#This Row],[R$ PARCELADO]]</f>
        <v>448.3</v>
      </c>
      <c r="N101" s="6"/>
    </row>
    <row r="102" spans="1:14" x14ac:dyDescent="0.25">
      <c r="A102" s="6" t="s">
        <v>281</v>
      </c>
      <c r="B102" s="7">
        <f t="shared" ca="1" si="33"/>
        <v>91</v>
      </c>
      <c r="C102" s="7"/>
      <c r="D102" s="7"/>
      <c r="E102" s="7"/>
      <c r="F102" s="7" t="s">
        <v>1183</v>
      </c>
      <c r="G102" s="6" t="s">
        <v>282</v>
      </c>
      <c r="H102" s="7" t="s">
        <v>13</v>
      </c>
      <c r="I102" s="8" t="s">
        <v>125</v>
      </c>
      <c r="J102" s="9">
        <v>2040</v>
      </c>
      <c r="K102" s="15">
        <v>598</v>
      </c>
      <c r="L102" s="6"/>
      <c r="M102" s="31"/>
      <c r="N102" s="11">
        <f t="shared" ref="N102:N103" si="34">K102</f>
        <v>598</v>
      </c>
    </row>
    <row r="103" spans="1:14" x14ac:dyDescent="0.25">
      <c r="A103" s="6" t="s">
        <v>283</v>
      </c>
      <c r="B103" s="7">
        <f t="shared" ca="1" si="33"/>
        <v>146</v>
      </c>
      <c r="C103" s="7"/>
      <c r="D103" s="7"/>
      <c r="E103" s="7"/>
      <c r="F103" s="7" t="s">
        <v>1183</v>
      </c>
      <c r="G103" s="6" t="s">
        <v>285</v>
      </c>
      <c r="H103" s="7" t="s">
        <v>13</v>
      </c>
      <c r="I103" s="8" t="s">
        <v>287</v>
      </c>
      <c r="J103" s="9">
        <v>2040</v>
      </c>
      <c r="K103" s="15">
        <v>598</v>
      </c>
      <c r="L103" s="6"/>
      <c r="M103" s="31"/>
      <c r="N103" s="11">
        <f t="shared" si="34"/>
        <v>598</v>
      </c>
    </row>
    <row r="104" spans="1:14" x14ac:dyDescent="0.25">
      <c r="A104" s="6" t="s">
        <v>288</v>
      </c>
      <c r="B104" s="7">
        <f t="shared" ca="1" si="33"/>
        <v>93</v>
      </c>
      <c r="C104" s="7">
        <v>3</v>
      </c>
      <c r="D104" s="10">
        <v>49.9</v>
      </c>
      <c r="E104" s="10">
        <f>D104*C104</f>
        <v>149.69999999999999</v>
      </c>
      <c r="F104" s="7" t="s">
        <v>1183</v>
      </c>
      <c r="G104" s="6" t="s">
        <v>289</v>
      </c>
      <c r="H104" s="7" t="s">
        <v>1197</v>
      </c>
      <c r="I104" s="8" t="s">
        <v>290</v>
      </c>
      <c r="J104" s="9">
        <v>2840</v>
      </c>
      <c r="K104" s="15">
        <v>598</v>
      </c>
      <c r="L104" s="11">
        <f>E104</f>
        <v>149.69999999999999</v>
      </c>
      <c r="M104" s="31">
        <f>Tabela2[[#This Row],[R$TOTAL FÉRIAS FACIL ]]-Tabela2[[#This Row],[R$ PARCELADO]]</f>
        <v>448.3</v>
      </c>
      <c r="N104" s="6"/>
    </row>
    <row r="105" spans="1:14" x14ac:dyDescent="0.25">
      <c r="A105" s="6" t="s">
        <v>291</v>
      </c>
      <c r="B105" s="7">
        <f t="shared" ca="1" si="33"/>
        <v>129</v>
      </c>
      <c r="C105" s="7"/>
      <c r="D105" s="7"/>
      <c r="E105" s="7"/>
      <c r="F105" s="7" t="s">
        <v>1183</v>
      </c>
      <c r="G105" s="6" t="s">
        <v>292</v>
      </c>
      <c r="H105" s="7" t="s">
        <v>13</v>
      </c>
      <c r="I105" s="8" t="s">
        <v>293</v>
      </c>
      <c r="J105" s="9">
        <v>2244</v>
      </c>
      <c r="K105" s="15">
        <v>598</v>
      </c>
      <c r="L105" s="6"/>
      <c r="M105" s="31"/>
      <c r="N105" s="11">
        <f t="shared" ref="N105:N107" si="35">K105</f>
        <v>598</v>
      </c>
    </row>
    <row r="106" spans="1:14" x14ac:dyDescent="0.25">
      <c r="A106" s="6" t="s">
        <v>294</v>
      </c>
      <c r="B106" s="7">
        <f t="shared" ca="1" si="33"/>
        <v>115</v>
      </c>
      <c r="C106" s="7"/>
      <c r="D106" s="7"/>
      <c r="E106" s="7"/>
      <c r="F106" s="7" t="s">
        <v>1183</v>
      </c>
      <c r="G106" s="6" t="s">
        <v>295</v>
      </c>
      <c r="H106" s="7" t="s">
        <v>13</v>
      </c>
      <c r="I106" s="8" t="s">
        <v>273</v>
      </c>
      <c r="J106" s="9">
        <v>2244</v>
      </c>
      <c r="K106" s="15">
        <v>598</v>
      </c>
      <c r="L106" s="6"/>
      <c r="M106" s="31"/>
      <c r="N106" s="11">
        <f t="shared" si="35"/>
        <v>598</v>
      </c>
    </row>
    <row r="107" spans="1:14" x14ac:dyDescent="0.25">
      <c r="A107" s="6" t="s">
        <v>296</v>
      </c>
      <c r="B107" s="7">
        <f t="shared" ca="1" si="33"/>
        <v>108</v>
      </c>
      <c r="C107" s="7"/>
      <c r="D107" s="7"/>
      <c r="E107" s="7"/>
      <c r="F107" s="7" t="s">
        <v>1183</v>
      </c>
      <c r="G107" s="6" t="s">
        <v>297</v>
      </c>
      <c r="H107" s="7" t="s">
        <v>13</v>
      </c>
      <c r="I107" s="8" t="s">
        <v>298</v>
      </c>
      <c r="J107" s="9">
        <v>2040</v>
      </c>
      <c r="K107" s="15">
        <v>598</v>
      </c>
      <c r="L107" s="6"/>
      <c r="M107" s="31"/>
      <c r="N107" s="11">
        <f t="shared" si="35"/>
        <v>598</v>
      </c>
    </row>
    <row r="108" spans="1:14" x14ac:dyDescent="0.25">
      <c r="A108" s="6" t="s">
        <v>299</v>
      </c>
      <c r="B108" s="7">
        <f t="shared" ca="1" si="33"/>
        <v>109</v>
      </c>
      <c r="C108" s="12">
        <v>4</v>
      </c>
      <c r="D108" s="10">
        <v>49.9</v>
      </c>
      <c r="E108" s="10">
        <f>D108*C108</f>
        <v>199.6</v>
      </c>
      <c r="F108" s="7" t="s">
        <v>1183</v>
      </c>
      <c r="G108" s="6" t="s">
        <v>300</v>
      </c>
      <c r="H108" s="7" t="s">
        <v>1197</v>
      </c>
      <c r="I108" s="8" t="s">
        <v>301</v>
      </c>
      <c r="J108" s="9">
        <v>2840</v>
      </c>
      <c r="K108" s="15">
        <v>598</v>
      </c>
      <c r="L108" s="11">
        <f>E108</f>
        <v>199.6</v>
      </c>
      <c r="M108" s="31">
        <f>Tabela2[[#This Row],[R$TOTAL FÉRIAS FACIL ]]-Tabela2[[#This Row],[R$ PARCELADO]]</f>
        <v>398.4</v>
      </c>
      <c r="N108" s="6"/>
    </row>
    <row r="109" spans="1:14" x14ac:dyDescent="0.25">
      <c r="A109" s="6" t="s">
        <v>302</v>
      </c>
      <c r="B109" s="7">
        <f t="shared" ca="1" si="33"/>
        <v>96</v>
      </c>
      <c r="C109" s="7"/>
      <c r="D109" s="7"/>
      <c r="E109" s="7"/>
      <c r="F109" s="7" t="s">
        <v>1183</v>
      </c>
      <c r="G109" s="6" t="s">
        <v>303</v>
      </c>
      <c r="H109" s="7" t="s">
        <v>13</v>
      </c>
      <c r="I109" s="8" t="s">
        <v>112</v>
      </c>
      <c r="J109" s="9">
        <v>2040</v>
      </c>
      <c r="K109" s="15">
        <v>598</v>
      </c>
      <c r="L109" s="6"/>
      <c r="M109" s="31"/>
      <c r="N109" s="11">
        <f t="shared" ref="N109:N113" si="36">K109</f>
        <v>598</v>
      </c>
    </row>
    <row r="110" spans="1:14" x14ac:dyDescent="0.25">
      <c r="A110" s="6" t="s">
        <v>305</v>
      </c>
      <c r="B110" s="7">
        <f t="shared" ca="1" si="33"/>
        <v>129</v>
      </c>
      <c r="C110" s="7"/>
      <c r="D110" s="7"/>
      <c r="E110" s="7"/>
      <c r="F110" s="7" t="s">
        <v>1183</v>
      </c>
      <c r="G110" s="6" t="s">
        <v>306</v>
      </c>
      <c r="H110" s="7" t="s">
        <v>13</v>
      </c>
      <c r="I110" s="8" t="s">
        <v>293</v>
      </c>
      <c r="J110" s="9">
        <v>2244</v>
      </c>
      <c r="K110" s="15">
        <v>598</v>
      </c>
      <c r="L110" s="6"/>
      <c r="M110" s="31"/>
      <c r="N110" s="11">
        <f t="shared" si="36"/>
        <v>598</v>
      </c>
    </row>
    <row r="111" spans="1:14" x14ac:dyDescent="0.25">
      <c r="A111" s="6" t="s">
        <v>307</v>
      </c>
      <c r="B111" s="7">
        <f t="shared" ca="1" si="33"/>
        <v>129</v>
      </c>
      <c r="C111" s="7"/>
      <c r="D111" s="7"/>
      <c r="E111" s="7"/>
      <c r="F111" s="7" t="s">
        <v>1183</v>
      </c>
      <c r="G111" s="6" t="s">
        <v>308</v>
      </c>
      <c r="H111" s="7" t="s">
        <v>13</v>
      </c>
      <c r="I111" s="8" t="s">
        <v>293</v>
      </c>
      <c r="J111" s="9">
        <v>2244</v>
      </c>
      <c r="K111" s="15">
        <v>598</v>
      </c>
      <c r="L111" s="6"/>
      <c r="M111" s="31"/>
      <c r="N111" s="11">
        <f t="shared" si="36"/>
        <v>598</v>
      </c>
    </row>
    <row r="112" spans="1:14" x14ac:dyDescent="0.25">
      <c r="A112" s="6" t="s">
        <v>309</v>
      </c>
      <c r="B112" s="7">
        <f t="shared" ca="1" si="33"/>
        <v>106</v>
      </c>
      <c r="C112" s="7"/>
      <c r="D112" s="7"/>
      <c r="E112" s="7"/>
      <c r="F112" s="7" t="s">
        <v>1183</v>
      </c>
      <c r="G112" s="6" t="s">
        <v>310</v>
      </c>
      <c r="H112" s="7" t="s">
        <v>13</v>
      </c>
      <c r="I112" s="8" t="s">
        <v>96</v>
      </c>
      <c r="J112" s="9">
        <v>2244</v>
      </c>
      <c r="K112" s="15">
        <v>598</v>
      </c>
      <c r="L112" s="6"/>
      <c r="M112" s="31"/>
      <c r="N112" s="11">
        <f t="shared" si="36"/>
        <v>598</v>
      </c>
    </row>
    <row r="113" spans="1:14" x14ac:dyDescent="0.25">
      <c r="A113" s="6" t="s">
        <v>311</v>
      </c>
      <c r="B113" s="7">
        <f t="shared" ca="1" si="33"/>
        <v>87</v>
      </c>
      <c r="C113" s="7"/>
      <c r="D113" s="7"/>
      <c r="E113" s="7"/>
      <c r="F113" s="7" t="s">
        <v>1183</v>
      </c>
      <c r="G113" s="6" t="s">
        <v>312</v>
      </c>
      <c r="H113" s="7" t="s">
        <v>13</v>
      </c>
      <c r="I113" s="8" t="s">
        <v>187</v>
      </c>
      <c r="J113" s="9">
        <v>3240</v>
      </c>
      <c r="K113" s="15">
        <v>598</v>
      </c>
      <c r="L113" s="6"/>
      <c r="M113" s="31"/>
      <c r="N113" s="11">
        <f t="shared" si="36"/>
        <v>598</v>
      </c>
    </row>
    <row r="114" spans="1:14" x14ac:dyDescent="0.25">
      <c r="A114" s="6" t="s">
        <v>313</v>
      </c>
      <c r="B114" s="7">
        <f t="shared" ca="1" si="33"/>
        <v>139</v>
      </c>
      <c r="C114" s="12">
        <v>5</v>
      </c>
      <c r="D114" s="10">
        <v>49.9</v>
      </c>
      <c r="E114" s="10">
        <f>D114*C114</f>
        <v>249.5</v>
      </c>
      <c r="F114" s="7" t="s">
        <v>1183</v>
      </c>
      <c r="G114" s="6" t="s">
        <v>314</v>
      </c>
      <c r="H114" s="7" t="s">
        <v>1197</v>
      </c>
      <c r="I114" s="8" t="s">
        <v>61</v>
      </c>
      <c r="J114" s="9">
        <v>2840</v>
      </c>
      <c r="K114" s="15">
        <v>598</v>
      </c>
      <c r="L114" s="11">
        <f>E114</f>
        <v>249.5</v>
      </c>
      <c r="M114" s="31">
        <f>Tabela2[[#This Row],[R$TOTAL FÉRIAS FACIL ]]-Tabela2[[#This Row],[R$ PARCELADO]]</f>
        <v>348.5</v>
      </c>
      <c r="N114" s="6"/>
    </row>
    <row r="115" spans="1:14" x14ac:dyDescent="0.25">
      <c r="A115" s="6" t="s">
        <v>315</v>
      </c>
      <c r="B115" s="7">
        <f t="shared" ca="1" si="33"/>
        <v>131</v>
      </c>
      <c r="C115" s="7"/>
      <c r="D115" s="7"/>
      <c r="E115" s="7"/>
      <c r="F115" s="7" t="s">
        <v>1183</v>
      </c>
      <c r="G115" s="6" t="s">
        <v>316</v>
      </c>
      <c r="H115" s="7" t="s">
        <v>13</v>
      </c>
      <c r="I115" s="8" t="s">
        <v>6</v>
      </c>
      <c r="J115" s="9">
        <v>2244</v>
      </c>
      <c r="K115" s="15">
        <v>598</v>
      </c>
      <c r="L115" s="6"/>
      <c r="M115" s="31"/>
      <c r="N115" s="11">
        <f>K115</f>
        <v>598</v>
      </c>
    </row>
    <row r="116" spans="1:14" x14ac:dyDescent="0.25">
      <c r="A116" s="6" t="s">
        <v>317</v>
      </c>
      <c r="B116" s="7">
        <f t="shared" ca="1" si="33"/>
        <v>130</v>
      </c>
      <c r="C116" s="12">
        <v>4</v>
      </c>
      <c r="D116" s="10">
        <v>49.9</v>
      </c>
      <c r="E116" s="10">
        <f t="shared" ref="E116:E118" si="37">D116*C116</f>
        <v>199.6</v>
      </c>
      <c r="F116" s="7" t="s">
        <v>1183</v>
      </c>
      <c r="G116" s="6" t="s">
        <v>318</v>
      </c>
      <c r="H116" s="7" t="s">
        <v>1197</v>
      </c>
      <c r="I116" s="8" t="s">
        <v>319</v>
      </c>
      <c r="J116" s="9">
        <v>2840</v>
      </c>
      <c r="K116" s="15">
        <v>598</v>
      </c>
      <c r="L116" s="11">
        <f t="shared" ref="L116:L118" si="38">E116</f>
        <v>199.6</v>
      </c>
      <c r="M116" s="31">
        <f>Tabela2[[#This Row],[R$TOTAL FÉRIAS FACIL ]]-Tabela2[[#This Row],[R$ PARCELADO]]</f>
        <v>398.4</v>
      </c>
      <c r="N116" s="6"/>
    </row>
    <row r="117" spans="1:14" x14ac:dyDescent="0.25">
      <c r="A117" s="6" t="s">
        <v>320</v>
      </c>
      <c r="B117" s="7">
        <f t="shared" ca="1" si="33"/>
        <v>137</v>
      </c>
      <c r="C117" s="12">
        <v>5</v>
      </c>
      <c r="D117" s="10">
        <v>49.9</v>
      </c>
      <c r="E117" s="10">
        <f t="shared" si="37"/>
        <v>249.5</v>
      </c>
      <c r="F117" s="7" t="s">
        <v>1183</v>
      </c>
      <c r="G117" s="6" t="s">
        <v>321</v>
      </c>
      <c r="H117" s="7" t="s">
        <v>1197</v>
      </c>
      <c r="I117" s="8" t="s">
        <v>66</v>
      </c>
      <c r="J117" s="9">
        <v>2840</v>
      </c>
      <c r="K117" s="15">
        <v>598</v>
      </c>
      <c r="L117" s="11">
        <f t="shared" si="38"/>
        <v>249.5</v>
      </c>
      <c r="M117" s="31">
        <f>Tabela2[[#This Row],[R$TOTAL FÉRIAS FACIL ]]-Tabela2[[#This Row],[R$ PARCELADO]]</f>
        <v>348.5</v>
      </c>
      <c r="N117" s="6"/>
    </row>
    <row r="118" spans="1:14" x14ac:dyDescent="0.25">
      <c r="A118" s="6" t="s">
        <v>322</v>
      </c>
      <c r="B118" s="7">
        <f t="shared" ca="1" si="33"/>
        <v>73</v>
      </c>
      <c r="C118" s="12">
        <v>2</v>
      </c>
      <c r="D118" s="10">
        <v>49.9</v>
      </c>
      <c r="E118" s="10">
        <f t="shared" si="37"/>
        <v>99.8</v>
      </c>
      <c r="F118" s="7" t="s">
        <v>1183</v>
      </c>
      <c r="G118" s="6" t="s">
        <v>323</v>
      </c>
      <c r="H118" s="7" t="s">
        <v>1197</v>
      </c>
      <c r="I118" s="8" t="s">
        <v>324</v>
      </c>
      <c r="J118" s="9">
        <v>2840</v>
      </c>
      <c r="K118" s="15">
        <v>598</v>
      </c>
      <c r="L118" s="11">
        <f t="shared" si="38"/>
        <v>99.8</v>
      </c>
      <c r="M118" s="31">
        <f>Tabela2[[#This Row],[R$TOTAL FÉRIAS FACIL ]]-Tabela2[[#This Row],[R$ PARCELADO]]</f>
        <v>498.2</v>
      </c>
      <c r="N118" s="6"/>
    </row>
    <row r="119" spans="1:14" x14ac:dyDescent="0.25">
      <c r="A119" s="6" t="s">
        <v>325</v>
      </c>
      <c r="B119" s="7">
        <f t="shared" ca="1" si="33"/>
        <v>100</v>
      </c>
      <c r="C119" s="7"/>
      <c r="D119" s="7"/>
      <c r="E119" s="7"/>
      <c r="F119" s="7" t="s">
        <v>1183</v>
      </c>
      <c r="G119" s="6" t="s">
        <v>326</v>
      </c>
      <c r="H119" s="7" t="s">
        <v>13</v>
      </c>
      <c r="I119" s="8" t="s">
        <v>107</v>
      </c>
      <c r="J119" s="9">
        <v>2040</v>
      </c>
      <c r="K119" s="15">
        <v>598</v>
      </c>
      <c r="L119" s="6"/>
      <c r="M119" s="31"/>
      <c r="N119" s="11">
        <f t="shared" ref="N119:N120" si="39">K119</f>
        <v>598</v>
      </c>
    </row>
    <row r="120" spans="1:14" x14ac:dyDescent="0.25">
      <c r="A120" s="6" t="s">
        <v>327</v>
      </c>
      <c r="B120" s="7">
        <f t="shared" ca="1" si="33"/>
        <v>115</v>
      </c>
      <c r="C120" s="7"/>
      <c r="D120" s="7"/>
      <c r="E120" s="7"/>
      <c r="F120" s="7" t="s">
        <v>1183</v>
      </c>
      <c r="G120" s="6" t="s">
        <v>328</v>
      </c>
      <c r="H120" s="7" t="s">
        <v>13</v>
      </c>
      <c r="I120" s="8" t="s">
        <v>273</v>
      </c>
      <c r="J120" s="9">
        <v>2040</v>
      </c>
      <c r="K120" s="15">
        <v>598</v>
      </c>
      <c r="L120" s="6"/>
      <c r="M120" s="31"/>
      <c r="N120" s="11">
        <f t="shared" si="39"/>
        <v>598</v>
      </c>
    </row>
    <row r="121" spans="1:14" x14ac:dyDescent="0.25">
      <c r="A121" s="6" t="s">
        <v>329</v>
      </c>
      <c r="B121" s="7">
        <f t="shared" ca="1" si="33"/>
        <v>131</v>
      </c>
      <c r="C121" s="12">
        <v>4</v>
      </c>
      <c r="D121" s="10">
        <v>49.9</v>
      </c>
      <c r="E121" s="10">
        <f>D121*C121</f>
        <v>199.6</v>
      </c>
      <c r="F121" s="7" t="s">
        <v>1183</v>
      </c>
      <c r="G121" s="6" t="s">
        <v>330</v>
      </c>
      <c r="H121" s="7" t="s">
        <v>1197</v>
      </c>
      <c r="I121" s="8" t="s">
        <v>6</v>
      </c>
      <c r="J121" s="9">
        <v>2840</v>
      </c>
      <c r="K121" s="15">
        <v>598</v>
      </c>
      <c r="L121" s="11">
        <f>E121</f>
        <v>199.6</v>
      </c>
      <c r="M121" s="31">
        <f>Tabela2[[#This Row],[R$TOTAL FÉRIAS FACIL ]]-Tabela2[[#This Row],[R$ PARCELADO]]</f>
        <v>398.4</v>
      </c>
      <c r="N121" s="6"/>
    </row>
    <row r="122" spans="1:14" x14ac:dyDescent="0.25">
      <c r="A122" s="6" t="s">
        <v>331</v>
      </c>
      <c r="B122" s="7">
        <f t="shared" ca="1" si="33"/>
        <v>127</v>
      </c>
      <c r="C122" s="7"/>
      <c r="D122" s="7"/>
      <c r="E122" s="7"/>
      <c r="F122" s="7" t="s">
        <v>1183</v>
      </c>
      <c r="G122" s="6" t="s">
        <v>332</v>
      </c>
      <c r="H122" s="7" t="s">
        <v>13</v>
      </c>
      <c r="I122" s="8" t="s">
        <v>71</v>
      </c>
      <c r="J122" s="9">
        <v>2244</v>
      </c>
      <c r="K122" s="15">
        <v>598</v>
      </c>
      <c r="L122" s="6"/>
      <c r="M122" s="31"/>
      <c r="N122" s="11">
        <f>K122</f>
        <v>598</v>
      </c>
    </row>
    <row r="123" spans="1:14" x14ac:dyDescent="0.25">
      <c r="A123" s="6" t="s">
        <v>333</v>
      </c>
      <c r="B123" s="7">
        <f t="shared" ca="1" si="33"/>
        <v>131</v>
      </c>
      <c r="C123" s="12">
        <v>4</v>
      </c>
      <c r="D123" s="10">
        <v>49.9</v>
      </c>
      <c r="E123" s="10">
        <f t="shared" ref="E123:E124" si="40">D123*C123</f>
        <v>199.6</v>
      </c>
      <c r="F123" s="7" t="s">
        <v>1183</v>
      </c>
      <c r="G123" s="6" t="s">
        <v>334</v>
      </c>
      <c r="H123" s="7" t="s">
        <v>1197</v>
      </c>
      <c r="I123" s="8" t="s">
        <v>6</v>
      </c>
      <c r="J123" s="9">
        <v>2840</v>
      </c>
      <c r="K123" s="15">
        <v>598</v>
      </c>
      <c r="L123" s="11">
        <f t="shared" ref="L123:L124" si="41">E123</f>
        <v>199.6</v>
      </c>
      <c r="M123" s="31">
        <f>Tabela2[[#This Row],[R$TOTAL FÉRIAS FACIL ]]-Tabela2[[#This Row],[R$ PARCELADO]]</f>
        <v>398.4</v>
      </c>
      <c r="N123" s="6"/>
    </row>
    <row r="124" spans="1:14" x14ac:dyDescent="0.25">
      <c r="A124" s="6" t="s">
        <v>335</v>
      </c>
      <c r="B124" s="7">
        <f t="shared" ca="1" si="33"/>
        <v>133</v>
      </c>
      <c r="C124" s="12">
        <v>4</v>
      </c>
      <c r="D124" s="10">
        <v>49.9</v>
      </c>
      <c r="E124" s="10">
        <f t="shared" si="40"/>
        <v>199.6</v>
      </c>
      <c r="F124" s="7" t="s">
        <v>1183</v>
      </c>
      <c r="G124" s="6" t="s">
        <v>336</v>
      </c>
      <c r="H124" s="7" t="s">
        <v>1197</v>
      </c>
      <c r="I124" s="8" t="s">
        <v>209</v>
      </c>
      <c r="J124" s="9">
        <v>2640</v>
      </c>
      <c r="K124" s="15">
        <v>598</v>
      </c>
      <c r="L124" s="11">
        <f t="shared" si="41"/>
        <v>199.6</v>
      </c>
      <c r="M124" s="31">
        <f>Tabela2[[#This Row],[R$TOTAL FÉRIAS FACIL ]]-Tabela2[[#This Row],[R$ PARCELADO]]</f>
        <v>398.4</v>
      </c>
      <c r="N124" s="6"/>
    </row>
    <row r="125" spans="1:14" x14ac:dyDescent="0.25">
      <c r="A125" s="6" t="s">
        <v>337</v>
      </c>
      <c r="B125" s="7">
        <f t="shared" ca="1" si="33"/>
        <v>134</v>
      </c>
      <c r="C125" s="7"/>
      <c r="D125" s="7"/>
      <c r="E125" s="7"/>
      <c r="F125" s="7" t="s">
        <v>1183</v>
      </c>
      <c r="G125" s="6" t="s">
        <v>338</v>
      </c>
      <c r="H125" s="7" t="s">
        <v>13</v>
      </c>
      <c r="I125" s="8" t="s">
        <v>339</v>
      </c>
      <c r="J125" s="9">
        <v>2244</v>
      </c>
      <c r="K125" s="15">
        <v>598</v>
      </c>
      <c r="L125" s="6"/>
      <c r="M125" s="31"/>
      <c r="N125" s="11">
        <f t="shared" ref="N125:N126" si="42">K125</f>
        <v>598</v>
      </c>
    </row>
    <row r="126" spans="1:14" x14ac:dyDescent="0.25">
      <c r="A126" s="6" t="s">
        <v>340</v>
      </c>
      <c r="B126" s="7">
        <f t="shared" ca="1" si="33"/>
        <v>136</v>
      </c>
      <c r="C126" s="7"/>
      <c r="D126" s="7"/>
      <c r="E126" s="7"/>
      <c r="F126" s="7" t="s">
        <v>1183</v>
      </c>
      <c r="G126" s="6" t="s">
        <v>341</v>
      </c>
      <c r="H126" s="7" t="s">
        <v>13</v>
      </c>
      <c r="I126" s="8" t="s">
        <v>342</v>
      </c>
      <c r="J126" s="9">
        <v>2244</v>
      </c>
      <c r="K126" s="15">
        <v>598</v>
      </c>
      <c r="L126" s="6"/>
      <c r="M126" s="31"/>
      <c r="N126" s="11">
        <f t="shared" si="42"/>
        <v>598</v>
      </c>
    </row>
    <row r="127" spans="1:14" x14ac:dyDescent="0.25">
      <c r="A127" s="6" t="s">
        <v>343</v>
      </c>
      <c r="B127" s="7">
        <f t="shared" ca="1" si="33"/>
        <v>135</v>
      </c>
      <c r="C127" s="12">
        <v>5</v>
      </c>
      <c r="D127" s="10">
        <v>49.9</v>
      </c>
      <c r="E127" s="10">
        <f>D127*C127</f>
        <v>249.5</v>
      </c>
      <c r="F127" s="7" t="s">
        <v>1183</v>
      </c>
      <c r="G127" s="6" t="s">
        <v>344</v>
      </c>
      <c r="H127" s="7" t="s">
        <v>1197</v>
      </c>
      <c r="I127" s="8" t="s">
        <v>146</v>
      </c>
      <c r="J127" s="9">
        <v>2840</v>
      </c>
      <c r="K127" s="15">
        <v>598</v>
      </c>
      <c r="L127" s="11">
        <f>E127</f>
        <v>249.5</v>
      </c>
      <c r="M127" s="31">
        <f>Tabela2[[#This Row],[R$TOTAL FÉRIAS FACIL ]]-Tabela2[[#This Row],[R$ PARCELADO]]</f>
        <v>348.5</v>
      </c>
      <c r="N127" s="6"/>
    </row>
    <row r="128" spans="1:14" x14ac:dyDescent="0.25">
      <c r="A128" s="6" t="s">
        <v>345</v>
      </c>
      <c r="B128" s="7">
        <f t="shared" ca="1" si="33"/>
        <v>95</v>
      </c>
      <c r="C128" s="7"/>
      <c r="D128" s="7"/>
      <c r="E128" s="7"/>
      <c r="F128" s="7" t="s">
        <v>1183</v>
      </c>
      <c r="G128" s="6" t="s">
        <v>346</v>
      </c>
      <c r="H128" s="7" t="s">
        <v>13</v>
      </c>
      <c r="I128" s="8" t="s">
        <v>280</v>
      </c>
      <c r="J128" s="9">
        <v>2040</v>
      </c>
      <c r="K128" s="15">
        <v>598</v>
      </c>
      <c r="L128" s="6"/>
      <c r="M128" s="31"/>
      <c r="N128" s="11">
        <f>K128</f>
        <v>598</v>
      </c>
    </row>
    <row r="129" spans="1:14" x14ac:dyDescent="0.25">
      <c r="A129" s="6" t="s">
        <v>347</v>
      </c>
      <c r="B129" s="7">
        <f t="shared" ca="1" si="33"/>
        <v>130</v>
      </c>
      <c r="C129" s="12">
        <v>4</v>
      </c>
      <c r="D129" s="10">
        <v>49.9</v>
      </c>
      <c r="E129" s="10">
        <f t="shared" ref="E129:E130" si="43">D129*C129</f>
        <v>199.6</v>
      </c>
      <c r="F129" s="7" t="s">
        <v>1183</v>
      </c>
      <c r="G129" s="6" t="s">
        <v>348</v>
      </c>
      <c r="H129" s="7" t="s">
        <v>1197</v>
      </c>
      <c r="I129" s="8" t="s">
        <v>319</v>
      </c>
      <c r="J129" s="9">
        <v>2840</v>
      </c>
      <c r="K129" s="15">
        <v>598</v>
      </c>
      <c r="L129" s="11">
        <f t="shared" ref="L129:L130" si="44">E129</f>
        <v>199.6</v>
      </c>
      <c r="M129" s="31">
        <f>Tabela2[[#This Row],[R$TOTAL FÉRIAS FACIL ]]-Tabela2[[#This Row],[R$ PARCELADO]]</f>
        <v>398.4</v>
      </c>
      <c r="N129" s="6"/>
    </row>
    <row r="130" spans="1:14" x14ac:dyDescent="0.25">
      <c r="A130" s="6" t="s">
        <v>349</v>
      </c>
      <c r="B130" s="7">
        <f t="shared" ca="1" si="33"/>
        <v>118</v>
      </c>
      <c r="C130" s="12">
        <v>4</v>
      </c>
      <c r="D130" s="10">
        <v>49.9</v>
      </c>
      <c r="E130" s="10">
        <f t="shared" si="43"/>
        <v>199.6</v>
      </c>
      <c r="F130" s="7" t="s">
        <v>1183</v>
      </c>
      <c r="G130" s="6" t="s">
        <v>350</v>
      </c>
      <c r="H130" s="7" t="s">
        <v>1197</v>
      </c>
      <c r="I130" s="8" t="s">
        <v>178</v>
      </c>
      <c r="J130" s="9">
        <v>2840</v>
      </c>
      <c r="K130" s="15">
        <v>598</v>
      </c>
      <c r="L130" s="11">
        <f t="shared" si="44"/>
        <v>199.6</v>
      </c>
      <c r="M130" s="31">
        <f>Tabela2[[#This Row],[R$TOTAL FÉRIAS FACIL ]]-Tabela2[[#This Row],[R$ PARCELADO]]</f>
        <v>398.4</v>
      </c>
      <c r="N130" s="6"/>
    </row>
    <row r="131" spans="1:14" x14ac:dyDescent="0.25">
      <c r="A131" s="6" t="s">
        <v>351</v>
      </c>
      <c r="B131" s="7">
        <f t="shared" ca="1" si="33"/>
        <v>71</v>
      </c>
      <c r="C131" s="7"/>
      <c r="D131" s="7"/>
      <c r="E131" s="7"/>
      <c r="F131" s="7" t="s">
        <v>1183</v>
      </c>
      <c r="G131" s="6" t="s">
        <v>352</v>
      </c>
      <c r="H131" s="7" t="s">
        <v>13</v>
      </c>
      <c r="I131" s="8" t="s">
        <v>353</v>
      </c>
      <c r="J131" s="9">
        <v>3440</v>
      </c>
      <c r="K131" s="15">
        <v>598</v>
      </c>
      <c r="L131" s="6"/>
      <c r="M131" s="31"/>
      <c r="N131" s="11">
        <f t="shared" ref="N131:N132" si="45">K131</f>
        <v>598</v>
      </c>
    </row>
    <row r="132" spans="1:14" x14ac:dyDescent="0.25">
      <c r="A132" s="6" t="s">
        <v>354</v>
      </c>
      <c r="B132" s="7">
        <f t="shared" ca="1" si="33"/>
        <v>111</v>
      </c>
      <c r="C132" s="7"/>
      <c r="D132" s="7"/>
      <c r="E132" s="7"/>
      <c r="F132" s="7" t="s">
        <v>1183</v>
      </c>
      <c r="G132" s="6" t="s">
        <v>355</v>
      </c>
      <c r="H132" s="7" t="s">
        <v>13</v>
      </c>
      <c r="I132" s="8" t="s">
        <v>91</v>
      </c>
      <c r="J132" s="9">
        <v>2244</v>
      </c>
      <c r="K132" s="15">
        <v>598</v>
      </c>
      <c r="L132" s="6"/>
      <c r="M132" s="31"/>
      <c r="N132" s="11">
        <f t="shared" si="45"/>
        <v>598</v>
      </c>
    </row>
    <row r="133" spans="1:14" x14ac:dyDescent="0.25">
      <c r="A133" s="6" t="s">
        <v>356</v>
      </c>
      <c r="B133" s="7">
        <f t="shared" ca="1" si="33"/>
        <v>126</v>
      </c>
      <c r="C133" s="12">
        <v>4</v>
      </c>
      <c r="D133" s="10">
        <v>49.9</v>
      </c>
      <c r="E133" s="10">
        <f>D133*C133</f>
        <v>199.6</v>
      </c>
      <c r="F133" s="7" t="s">
        <v>1183</v>
      </c>
      <c r="G133" s="6" t="s">
        <v>357</v>
      </c>
      <c r="H133" s="7" t="s">
        <v>1197</v>
      </c>
      <c r="I133" s="8" t="s">
        <v>358</v>
      </c>
      <c r="J133" s="9">
        <v>2640</v>
      </c>
      <c r="K133" s="15">
        <v>598</v>
      </c>
      <c r="L133" s="11">
        <f>E133</f>
        <v>199.6</v>
      </c>
      <c r="M133" s="31">
        <f>Tabela2[[#This Row],[R$TOTAL FÉRIAS FACIL ]]-Tabela2[[#This Row],[R$ PARCELADO]]</f>
        <v>398.4</v>
      </c>
      <c r="N133" s="6"/>
    </row>
    <row r="134" spans="1:14" x14ac:dyDescent="0.25">
      <c r="A134" s="6" t="s">
        <v>359</v>
      </c>
      <c r="B134" s="7">
        <f t="shared" ca="1" si="33"/>
        <v>110</v>
      </c>
      <c r="C134" s="7"/>
      <c r="D134" s="7"/>
      <c r="E134" s="7"/>
      <c r="F134" s="7" t="s">
        <v>1183</v>
      </c>
      <c r="G134" s="6" t="s">
        <v>360</v>
      </c>
      <c r="H134" s="7" t="s">
        <v>13</v>
      </c>
      <c r="I134" s="8" t="s">
        <v>12</v>
      </c>
      <c r="J134" s="9">
        <v>2244</v>
      </c>
      <c r="K134" s="15">
        <v>598</v>
      </c>
      <c r="L134" s="6"/>
      <c r="M134" s="31"/>
      <c r="N134" s="11">
        <f>K134</f>
        <v>598</v>
      </c>
    </row>
    <row r="135" spans="1:14" x14ac:dyDescent="0.25">
      <c r="A135" s="6" t="s">
        <v>361</v>
      </c>
      <c r="B135" s="7">
        <f t="shared" ca="1" si="33"/>
        <v>118</v>
      </c>
      <c r="C135" s="12">
        <v>4</v>
      </c>
      <c r="D135" s="10">
        <v>49.9</v>
      </c>
      <c r="E135" s="10">
        <f t="shared" ref="E135:E136" si="46">D135*C135</f>
        <v>199.6</v>
      </c>
      <c r="F135" s="7" t="s">
        <v>1183</v>
      </c>
      <c r="G135" s="6" t="s">
        <v>362</v>
      </c>
      <c r="H135" s="7" t="s">
        <v>1197</v>
      </c>
      <c r="I135" s="8" t="s">
        <v>178</v>
      </c>
      <c r="J135" s="9">
        <v>2640</v>
      </c>
      <c r="K135" s="15">
        <v>598</v>
      </c>
      <c r="L135" s="11">
        <f t="shared" ref="L135:L136" si="47">E135</f>
        <v>199.6</v>
      </c>
      <c r="M135" s="31">
        <f>Tabela2[[#This Row],[R$TOTAL FÉRIAS FACIL ]]-Tabela2[[#This Row],[R$ PARCELADO]]</f>
        <v>398.4</v>
      </c>
      <c r="N135" s="6"/>
    </row>
    <row r="136" spans="1:14" x14ac:dyDescent="0.25">
      <c r="A136" s="6" t="s">
        <v>363</v>
      </c>
      <c r="B136" s="7">
        <f t="shared" ca="1" si="33"/>
        <v>112</v>
      </c>
      <c r="C136" s="12">
        <v>4</v>
      </c>
      <c r="D136" s="10">
        <v>49.9</v>
      </c>
      <c r="E136" s="10">
        <f t="shared" si="46"/>
        <v>199.6</v>
      </c>
      <c r="F136" s="7" t="s">
        <v>1183</v>
      </c>
      <c r="G136" s="6" t="s">
        <v>364</v>
      </c>
      <c r="H136" s="7" t="s">
        <v>1197</v>
      </c>
      <c r="I136" s="8" t="s">
        <v>69</v>
      </c>
      <c r="J136" s="9">
        <v>2840</v>
      </c>
      <c r="K136" s="15">
        <v>598</v>
      </c>
      <c r="L136" s="11">
        <f t="shared" si="47"/>
        <v>199.6</v>
      </c>
      <c r="M136" s="31">
        <f>Tabela2[[#This Row],[R$TOTAL FÉRIAS FACIL ]]-Tabela2[[#This Row],[R$ PARCELADO]]</f>
        <v>398.4</v>
      </c>
      <c r="N136" s="6"/>
    </row>
    <row r="137" spans="1:14" x14ac:dyDescent="0.25">
      <c r="A137" s="6" t="s">
        <v>365</v>
      </c>
      <c r="B137" s="6"/>
      <c r="C137" s="6"/>
      <c r="D137" s="6"/>
      <c r="E137" s="6"/>
      <c r="F137" s="7" t="s">
        <v>1183</v>
      </c>
      <c r="G137" s="6" t="s">
        <v>366</v>
      </c>
      <c r="H137" s="7" t="s">
        <v>13</v>
      </c>
      <c r="I137" s="8" t="s">
        <v>91</v>
      </c>
      <c r="J137" s="9">
        <v>2040</v>
      </c>
      <c r="K137" s="15">
        <v>598</v>
      </c>
      <c r="L137" s="6"/>
      <c r="M137" s="31"/>
      <c r="N137" s="11">
        <f>K137</f>
        <v>598</v>
      </c>
    </row>
    <row r="138" spans="1:14" x14ac:dyDescent="0.25">
      <c r="A138" s="6" t="s">
        <v>367</v>
      </c>
      <c r="B138" s="7">
        <f t="shared" ref="B138:B149" ca="1" si="48">$I$1-I138</f>
        <v>103</v>
      </c>
      <c r="C138" s="7"/>
      <c r="D138" s="7"/>
      <c r="E138" s="7"/>
      <c r="F138" s="7" t="s">
        <v>1183</v>
      </c>
      <c r="G138" s="6" t="s">
        <v>368</v>
      </c>
      <c r="H138" s="7" t="s">
        <v>13</v>
      </c>
      <c r="I138" s="8" t="s">
        <v>101</v>
      </c>
      <c r="J138" s="9">
        <v>2244</v>
      </c>
      <c r="K138" s="15">
        <v>598</v>
      </c>
      <c r="L138" s="6"/>
      <c r="M138" s="31"/>
      <c r="N138" s="11">
        <f>K138</f>
        <v>598</v>
      </c>
    </row>
    <row r="139" spans="1:14" x14ac:dyDescent="0.25">
      <c r="A139" s="6" t="s">
        <v>369</v>
      </c>
      <c r="B139" s="7">
        <f t="shared" ca="1" si="48"/>
        <v>108</v>
      </c>
      <c r="C139" s="12">
        <v>4</v>
      </c>
      <c r="D139" s="10">
        <v>49.9</v>
      </c>
      <c r="E139" s="10">
        <f>D139*C139</f>
        <v>199.6</v>
      </c>
      <c r="F139" s="7" t="s">
        <v>1183</v>
      </c>
      <c r="G139" s="6" t="s">
        <v>370</v>
      </c>
      <c r="H139" s="7" t="s">
        <v>1197</v>
      </c>
      <c r="I139" s="8" t="s">
        <v>298</v>
      </c>
      <c r="J139" s="9">
        <v>2840</v>
      </c>
      <c r="K139" s="15">
        <v>598</v>
      </c>
      <c r="L139" s="11">
        <f>E139</f>
        <v>199.6</v>
      </c>
      <c r="M139" s="31">
        <f>Tabela2[[#This Row],[R$TOTAL FÉRIAS FACIL ]]-Tabela2[[#This Row],[R$ PARCELADO]]</f>
        <v>398.4</v>
      </c>
      <c r="N139" s="6"/>
    </row>
    <row r="140" spans="1:14" x14ac:dyDescent="0.25">
      <c r="A140" s="6" t="s">
        <v>371</v>
      </c>
      <c r="B140" s="7">
        <f t="shared" ca="1" si="48"/>
        <v>109</v>
      </c>
      <c r="C140" s="7"/>
      <c r="D140" s="7"/>
      <c r="E140" s="7"/>
      <c r="F140" s="7" t="s">
        <v>1183</v>
      </c>
      <c r="G140" s="6" t="s">
        <v>372</v>
      </c>
      <c r="H140" s="7" t="s">
        <v>13</v>
      </c>
      <c r="I140" s="8" t="s">
        <v>301</v>
      </c>
      <c r="J140" s="9">
        <v>2244</v>
      </c>
      <c r="K140" s="15">
        <v>598</v>
      </c>
      <c r="L140" s="6"/>
      <c r="M140" s="31"/>
      <c r="N140" s="11">
        <f>K140</f>
        <v>598</v>
      </c>
    </row>
    <row r="141" spans="1:14" x14ac:dyDescent="0.25">
      <c r="A141" s="6" t="s">
        <v>373</v>
      </c>
      <c r="B141" s="7">
        <f t="shared" ca="1" si="48"/>
        <v>99</v>
      </c>
      <c r="C141" s="7">
        <v>3</v>
      </c>
      <c r="D141" s="10">
        <v>49.9</v>
      </c>
      <c r="E141" s="10">
        <f t="shared" ref="E141:E142" si="49">D141*C141</f>
        <v>149.69999999999999</v>
      </c>
      <c r="F141" s="7" t="s">
        <v>1183</v>
      </c>
      <c r="G141" s="6" t="s">
        <v>374</v>
      </c>
      <c r="H141" s="7" t="s">
        <v>1197</v>
      </c>
      <c r="I141" s="8" t="s">
        <v>375</v>
      </c>
      <c r="J141" s="9">
        <v>2485</v>
      </c>
      <c r="K141" s="15">
        <v>598</v>
      </c>
      <c r="L141" s="11">
        <f t="shared" ref="L141:L142" si="50">E141</f>
        <v>149.69999999999999</v>
      </c>
      <c r="M141" s="31">
        <f>Tabela2[[#This Row],[R$TOTAL FÉRIAS FACIL ]]-Tabela2[[#This Row],[R$ PARCELADO]]</f>
        <v>448.3</v>
      </c>
      <c r="N141" s="6"/>
    </row>
    <row r="142" spans="1:14" x14ac:dyDescent="0.25">
      <c r="A142" s="6" t="s">
        <v>376</v>
      </c>
      <c r="B142" s="7">
        <f t="shared" ca="1" si="48"/>
        <v>108</v>
      </c>
      <c r="C142" s="12">
        <v>4</v>
      </c>
      <c r="D142" s="10">
        <v>49.9</v>
      </c>
      <c r="E142" s="10">
        <f t="shared" si="49"/>
        <v>199.6</v>
      </c>
      <c r="F142" s="7" t="s">
        <v>1183</v>
      </c>
      <c r="G142" s="6" t="s">
        <v>377</v>
      </c>
      <c r="H142" s="7" t="s">
        <v>1197</v>
      </c>
      <c r="I142" s="8">
        <v>46012</v>
      </c>
      <c r="J142" s="9">
        <v>2840</v>
      </c>
      <c r="K142" s="15">
        <v>598</v>
      </c>
      <c r="L142" s="11">
        <f t="shared" si="50"/>
        <v>199.6</v>
      </c>
      <c r="M142" s="31">
        <f>Tabela2[[#This Row],[R$TOTAL FÉRIAS FACIL ]]-Tabela2[[#This Row],[R$ PARCELADO]]</f>
        <v>398.4</v>
      </c>
      <c r="N142" s="6"/>
    </row>
    <row r="143" spans="1:14" x14ac:dyDescent="0.25">
      <c r="A143" s="6" t="s">
        <v>378</v>
      </c>
      <c r="B143" s="7">
        <f t="shared" ca="1" si="48"/>
        <v>87</v>
      </c>
      <c r="C143" s="7"/>
      <c r="D143" s="7"/>
      <c r="E143" s="7"/>
      <c r="F143" s="7" t="s">
        <v>1183</v>
      </c>
      <c r="G143" s="6" t="s">
        <v>379</v>
      </c>
      <c r="H143" s="7" t="s">
        <v>13</v>
      </c>
      <c r="I143" s="8" t="s">
        <v>187</v>
      </c>
      <c r="J143" s="9">
        <v>3444</v>
      </c>
      <c r="K143" s="15">
        <v>598</v>
      </c>
      <c r="L143" s="6"/>
      <c r="M143" s="31"/>
      <c r="N143" s="11">
        <f>K143</f>
        <v>598</v>
      </c>
    </row>
    <row r="144" spans="1:14" x14ac:dyDescent="0.25">
      <c r="A144" s="6" t="s">
        <v>380</v>
      </c>
      <c r="B144" s="7">
        <f t="shared" ca="1" si="48"/>
        <v>123</v>
      </c>
      <c r="C144" s="12">
        <v>4</v>
      </c>
      <c r="D144" s="10">
        <v>49.9</v>
      </c>
      <c r="E144" s="10">
        <f t="shared" ref="E144:E145" si="51">D144*C144</f>
        <v>199.6</v>
      </c>
      <c r="F144" s="7" t="s">
        <v>1183</v>
      </c>
      <c r="G144" s="6" t="s">
        <v>381</v>
      </c>
      <c r="H144" s="7" t="s">
        <v>1197</v>
      </c>
      <c r="I144" s="8" t="s">
        <v>382</v>
      </c>
      <c r="J144" s="9">
        <v>2310</v>
      </c>
      <c r="K144" s="15">
        <v>598</v>
      </c>
      <c r="L144" s="11">
        <f t="shared" ref="L144:L145" si="52">E144</f>
        <v>199.6</v>
      </c>
      <c r="M144" s="31">
        <f>Tabela2[[#This Row],[R$TOTAL FÉRIAS FACIL ]]-Tabela2[[#This Row],[R$ PARCELADO]]</f>
        <v>398.4</v>
      </c>
      <c r="N144" s="6"/>
    </row>
    <row r="145" spans="1:14" x14ac:dyDescent="0.25">
      <c r="A145" s="6" t="s">
        <v>383</v>
      </c>
      <c r="B145" s="7">
        <f t="shared" ca="1" si="48"/>
        <v>103</v>
      </c>
      <c r="C145" s="7">
        <v>3</v>
      </c>
      <c r="D145" s="10">
        <v>49.9</v>
      </c>
      <c r="E145" s="10">
        <f t="shared" si="51"/>
        <v>149.69999999999999</v>
      </c>
      <c r="F145" s="7" t="s">
        <v>1183</v>
      </c>
      <c r="G145" s="6" t="s">
        <v>384</v>
      </c>
      <c r="H145" s="7" t="s">
        <v>1197</v>
      </c>
      <c r="I145" s="8" t="s">
        <v>101</v>
      </c>
      <c r="J145" s="9">
        <v>2640</v>
      </c>
      <c r="K145" s="15">
        <v>598</v>
      </c>
      <c r="L145" s="11">
        <f t="shared" si="52"/>
        <v>149.69999999999999</v>
      </c>
      <c r="M145" s="31">
        <f>Tabela2[[#This Row],[R$TOTAL FÉRIAS FACIL ]]-Tabela2[[#This Row],[R$ PARCELADO]]</f>
        <v>448.3</v>
      </c>
      <c r="N145" s="6"/>
    </row>
    <row r="146" spans="1:14" x14ac:dyDescent="0.25">
      <c r="A146" s="6" t="s">
        <v>385</v>
      </c>
      <c r="B146" s="7">
        <f t="shared" ca="1" si="48"/>
        <v>105</v>
      </c>
      <c r="C146" s="7"/>
      <c r="D146" s="7"/>
      <c r="E146" s="7"/>
      <c r="F146" s="7" t="s">
        <v>1183</v>
      </c>
      <c r="G146" s="6" t="s">
        <v>386</v>
      </c>
      <c r="H146" s="7" t="s">
        <v>13</v>
      </c>
      <c r="I146" s="8" t="s">
        <v>99</v>
      </c>
      <c r="J146" s="9">
        <v>2244</v>
      </c>
      <c r="K146" s="15">
        <v>598</v>
      </c>
      <c r="L146" s="6"/>
      <c r="M146" s="31"/>
      <c r="N146" s="11">
        <f t="shared" ref="N146:N148" si="53">K146</f>
        <v>598</v>
      </c>
    </row>
    <row r="147" spans="1:14" x14ac:dyDescent="0.25">
      <c r="A147" s="6" t="s">
        <v>387</v>
      </c>
      <c r="B147" s="7">
        <f t="shared" ca="1" si="48"/>
        <v>103</v>
      </c>
      <c r="C147" s="7"/>
      <c r="D147" s="7"/>
      <c r="E147" s="7"/>
      <c r="F147" s="7" t="s">
        <v>1183</v>
      </c>
      <c r="G147" s="6" t="s">
        <v>388</v>
      </c>
      <c r="H147" s="7" t="s">
        <v>13</v>
      </c>
      <c r="I147" s="8" t="s">
        <v>101</v>
      </c>
      <c r="J147" s="9">
        <v>2040</v>
      </c>
      <c r="K147" s="15">
        <v>598</v>
      </c>
      <c r="L147" s="6"/>
      <c r="M147" s="31"/>
      <c r="N147" s="11">
        <f t="shared" si="53"/>
        <v>598</v>
      </c>
    </row>
    <row r="148" spans="1:14" x14ac:dyDescent="0.25">
      <c r="A148" s="6" t="s">
        <v>389</v>
      </c>
      <c r="B148" s="7">
        <f t="shared" ca="1" si="48"/>
        <v>122</v>
      </c>
      <c r="C148" s="7"/>
      <c r="D148" s="7"/>
      <c r="E148" s="7"/>
      <c r="F148" s="7" t="s">
        <v>1183</v>
      </c>
      <c r="G148" s="6" t="s">
        <v>390</v>
      </c>
      <c r="H148" s="7" t="s">
        <v>13</v>
      </c>
      <c r="I148" s="8" t="s">
        <v>260</v>
      </c>
      <c r="J148" s="9">
        <v>2040</v>
      </c>
      <c r="K148" s="15">
        <v>598</v>
      </c>
      <c r="L148" s="6"/>
      <c r="M148" s="31"/>
      <c r="N148" s="11">
        <f t="shared" si="53"/>
        <v>598</v>
      </c>
    </row>
    <row r="149" spans="1:14" x14ac:dyDescent="0.25">
      <c r="A149" s="6" t="s">
        <v>391</v>
      </c>
      <c r="B149" s="7">
        <f t="shared" ca="1" si="48"/>
        <v>96</v>
      </c>
      <c r="C149" s="7">
        <v>3</v>
      </c>
      <c r="D149" s="10">
        <v>49.9</v>
      </c>
      <c r="E149" s="10">
        <f>D149*C149</f>
        <v>149.69999999999999</v>
      </c>
      <c r="F149" s="7" t="s">
        <v>1183</v>
      </c>
      <c r="G149" s="6" t="s">
        <v>392</v>
      </c>
      <c r="H149" s="7" t="s">
        <v>1197</v>
      </c>
      <c r="I149" s="8" t="s">
        <v>112</v>
      </c>
      <c r="J149" s="9">
        <v>2363.9699999999998</v>
      </c>
      <c r="K149" s="15">
        <v>598</v>
      </c>
      <c r="L149" s="11">
        <f>E149</f>
        <v>149.69999999999999</v>
      </c>
      <c r="M149" s="31">
        <f>Tabela2[[#This Row],[R$TOTAL FÉRIAS FACIL ]]-Tabela2[[#This Row],[R$ PARCELADO]]</f>
        <v>448.3</v>
      </c>
      <c r="N149" s="6"/>
    </row>
    <row r="150" spans="1:14" x14ac:dyDescent="0.25">
      <c r="A150" s="6" t="s">
        <v>393</v>
      </c>
      <c r="B150" s="6"/>
      <c r="C150" s="6"/>
      <c r="D150" s="6"/>
      <c r="E150" s="6"/>
      <c r="F150" s="7" t="s">
        <v>1183</v>
      </c>
      <c r="G150" s="6" t="s">
        <v>394</v>
      </c>
      <c r="H150" s="7" t="s">
        <v>13</v>
      </c>
      <c r="I150" s="8" t="s">
        <v>395</v>
      </c>
      <c r="J150" s="9">
        <v>2640</v>
      </c>
      <c r="K150" s="15">
        <v>598</v>
      </c>
      <c r="L150" s="6"/>
      <c r="M150" s="31"/>
      <c r="N150" s="11">
        <f>K150</f>
        <v>598</v>
      </c>
    </row>
    <row r="151" spans="1:14" x14ac:dyDescent="0.25">
      <c r="A151" s="6" t="s">
        <v>396</v>
      </c>
      <c r="B151" s="7">
        <f ca="1">$I$1-I151</f>
        <v>102</v>
      </c>
      <c r="C151" s="7"/>
      <c r="D151" s="7"/>
      <c r="E151" s="7"/>
      <c r="F151" s="7" t="s">
        <v>1183</v>
      </c>
      <c r="G151" s="6" t="s">
        <v>397</v>
      </c>
      <c r="H151" s="7" t="s">
        <v>13</v>
      </c>
      <c r="I151" s="8" t="s">
        <v>191</v>
      </c>
      <c r="J151" s="9">
        <v>2244</v>
      </c>
      <c r="K151" s="15">
        <v>598</v>
      </c>
      <c r="L151" s="6"/>
      <c r="M151" s="31"/>
      <c r="N151" s="11">
        <f>K151</f>
        <v>598</v>
      </c>
    </row>
    <row r="152" spans="1:14" x14ac:dyDescent="0.25">
      <c r="A152" s="6" t="s">
        <v>398</v>
      </c>
      <c r="B152" s="7">
        <f ca="1">$I$1-I152</f>
        <v>80</v>
      </c>
      <c r="C152" s="7">
        <v>3</v>
      </c>
      <c r="D152" s="10">
        <v>49.9</v>
      </c>
      <c r="E152" s="10">
        <f>D152*C152</f>
        <v>149.69999999999999</v>
      </c>
      <c r="F152" s="7" t="s">
        <v>1183</v>
      </c>
      <c r="G152" s="6" t="s">
        <v>399</v>
      </c>
      <c r="H152" s="7" t="s">
        <v>1197</v>
      </c>
      <c r="I152" s="8" t="s">
        <v>400</v>
      </c>
      <c r="J152" s="9">
        <v>2640</v>
      </c>
      <c r="K152" s="15">
        <v>598</v>
      </c>
      <c r="L152" s="11">
        <f>E152</f>
        <v>149.69999999999999</v>
      </c>
      <c r="M152" s="31">
        <f>Tabela2[[#This Row],[R$TOTAL FÉRIAS FACIL ]]-Tabela2[[#This Row],[R$ PARCELADO]]</f>
        <v>448.3</v>
      </c>
      <c r="N152" s="6"/>
    </row>
    <row r="153" spans="1:14" x14ac:dyDescent="0.25">
      <c r="A153" s="6" t="s">
        <v>401</v>
      </c>
      <c r="B153" s="7">
        <f ca="1">$I$1-I153</f>
        <v>100</v>
      </c>
      <c r="C153" s="7"/>
      <c r="D153" s="7"/>
      <c r="E153" s="7"/>
      <c r="F153" s="7" t="s">
        <v>1183</v>
      </c>
      <c r="G153" s="6" t="s">
        <v>402</v>
      </c>
      <c r="H153" s="7" t="s">
        <v>13</v>
      </c>
      <c r="I153" s="8" t="s">
        <v>107</v>
      </c>
      <c r="J153" s="9">
        <v>2244</v>
      </c>
      <c r="K153" s="15">
        <v>598</v>
      </c>
      <c r="L153" s="6"/>
      <c r="M153" s="31"/>
      <c r="N153" s="11">
        <f>K153</f>
        <v>598</v>
      </c>
    </row>
    <row r="154" spans="1:14" x14ac:dyDescent="0.25">
      <c r="A154" s="6" t="s">
        <v>403</v>
      </c>
      <c r="B154" s="6"/>
      <c r="C154" s="6"/>
      <c r="D154" s="6"/>
      <c r="E154" s="6"/>
      <c r="F154" s="7" t="s">
        <v>1183</v>
      </c>
      <c r="G154" s="6" t="s">
        <v>404</v>
      </c>
      <c r="H154" s="7" t="s">
        <v>13</v>
      </c>
      <c r="I154" s="8" t="s">
        <v>128</v>
      </c>
      <c r="J154" s="9">
        <v>4644</v>
      </c>
      <c r="K154" s="15">
        <v>598</v>
      </c>
      <c r="L154" s="6"/>
      <c r="M154" s="31"/>
      <c r="N154" s="11">
        <f t="shared" ref="N154:N155" si="54">K154</f>
        <v>598</v>
      </c>
    </row>
    <row r="155" spans="1:14" x14ac:dyDescent="0.25">
      <c r="A155" s="6" t="s">
        <v>405</v>
      </c>
      <c r="B155" s="6"/>
      <c r="C155" s="6"/>
      <c r="D155" s="6"/>
      <c r="E155" s="6"/>
      <c r="F155" s="7" t="s">
        <v>1183</v>
      </c>
      <c r="G155" s="6" t="s">
        <v>406</v>
      </c>
      <c r="H155" s="7" t="s">
        <v>13</v>
      </c>
      <c r="I155" s="8" t="s">
        <v>112</v>
      </c>
      <c r="J155" s="9">
        <v>2640</v>
      </c>
      <c r="K155" s="15">
        <v>598</v>
      </c>
      <c r="L155" s="6"/>
      <c r="M155" s="31"/>
      <c r="N155" s="11">
        <f t="shared" si="54"/>
        <v>598</v>
      </c>
    </row>
    <row r="156" spans="1:14" x14ac:dyDescent="0.25">
      <c r="A156" s="6" t="s">
        <v>407</v>
      </c>
      <c r="B156" s="7">
        <f ca="1">$I$1-I156</f>
        <v>100</v>
      </c>
      <c r="C156" s="7">
        <v>3</v>
      </c>
      <c r="D156" s="10">
        <v>49.9</v>
      </c>
      <c r="E156" s="10">
        <f>D156*C156</f>
        <v>149.69999999999999</v>
      </c>
      <c r="F156" s="7" t="s">
        <v>1183</v>
      </c>
      <c r="G156" s="6" t="s">
        <v>408</v>
      </c>
      <c r="H156" s="7" t="s">
        <v>1197</v>
      </c>
      <c r="I156" s="8" t="s">
        <v>107</v>
      </c>
      <c r="J156" s="9">
        <v>2640</v>
      </c>
      <c r="K156" s="15">
        <v>598</v>
      </c>
      <c r="L156" s="11">
        <f>E156</f>
        <v>149.69999999999999</v>
      </c>
      <c r="M156" s="31">
        <f>Tabela2[[#This Row],[R$TOTAL FÉRIAS FACIL ]]-Tabela2[[#This Row],[R$ PARCELADO]]</f>
        <v>448.3</v>
      </c>
      <c r="N156" s="6"/>
    </row>
    <row r="157" spans="1:14" x14ac:dyDescent="0.25">
      <c r="A157" s="6" t="s">
        <v>409</v>
      </c>
      <c r="B157" s="6"/>
      <c r="C157" s="6"/>
      <c r="D157" s="6"/>
      <c r="E157" s="6"/>
      <c r="F157" s="7" t="s">
        <v>1183</v>
      </c>
      <c r="G157" s="6" t="s">
        <v>410</v>
      </c>
      <c r="H157" s="7" t="s">
        <v>13</v>
      </c>
      <c r="I157" s="8" t="s">
        <v>112</v>
      </c>
      <c r="J157" s="9">
        <v>2640</v>
      </c>
      <c r="K157" s="15">
        <v>598</v>
      </c>
      <c r="L157" s="6"/>
      <c r="M157" s="31"/>
      <c r="N157" s="11">
        <f>K157</f>
        <v>598</v>
      </c>
    </row>
    <row r="158" spans="1:14" x14ac:dyDescent="0.25">
      <c r="A158" s="6" t="s">
        <v>412</v>
      </c>
      <c r="B158" s="7">
        <f ca="1">$I$1-I158</f>
        <v>95</v>
      </c>
      <c r="C158" s="7">
        <v>3</v>
      </c>
      <c r="D158" s="10">
        <v>49.9</v>
      </c>
      <c r="E158" s="10">
        <f>D158*C158</f>
        <v>149.69999999999999</v>
      </c>
      <c r="F158" s="7" t="s">
        <v>1183</v>
      </c>
      <c r="G158" s="6" t="s">
        <v>413</v>
      </c>
      <c r="H158" s="7" t="s">
        <v>1197</v>
      </c>
      <c r="I158" s="8" t="s">
        <v>280</v>
      </c>
      <c r="J158" s="9">
        <v>2840</v>
      </c>
      <c r="K158" s="15">
        <v>598</v>
      </c>
      <c r="L158" s="11">
        <f>E158</f>
        <v>149.69999999999999</v>
      </c>
      <c r="M158" s="31">
        <f>Tabela2[[#This Row],[R$TOTAL FÉRIAS FACIL ]]-Tabela2[[#This Row],[R$ PARCELADO]]</f>
        <v>448.3</v>
      </c>
      <c r="N158" s="6"/>
    </row>
    <row r="159" spans="1:14" x14ac:dyDescent="0.25">
      <c r="A159" s="6" t="s">
        <v>414</v>
      </c>
      <c r="B159" s="7">
        <f ca="1">$I$1-I159</f>
        <v>88</v>
      </c>
      <c r="C159" s="7"/>
      <c r="D159" s="7"/>
      <c r="E159" s="7"/>
      <c r="F159" s="7" t="s">
        <v>1183</v>
      </c>
      <c r="G159" s="6" t="s">
        <v>415</v>
      </c>
      <c r="H159" s="7" t="s">
        <v>13</v>
      </c>
      <c r="I159" s="8" t="s">
        <v>416</v>
      </c>
      <c r="J159" s="9">
        <v>2244</v>
      </c>
      <c r="K159" s="15">
        <v>598</v>
      </c>
      <c r="L159" s="6"/>
      <c r="M159" s="31"/>
      <c r="N159" s="11">
        <f>K159</f>
        <v>598</v>
      </c>
    </row>
    <row r="160" spans="1:14" x14ac:dyDescent="0.25">
      <c r="A160" s="6" t="s">
        <v>417</v>
      </c>
      <c r="B160" s="6"/>
      <c r="C160" s="6"/>
      <c r="D160" s="6"/>
      <c r="E160" s="6"/>
      <c r="F160" s="7" t="s">
        <v>1183</v>
      </c>
      <c r="G160" s="6" t="s">
        <v>418</v>
      </c>
      <c r="H160" s="7" t="s">
        <v>13</v>
      </c>
      <c r="I160" s="8" t="s">
        <v>128</v>
      </c>
      <c r="J160" s="9">
        <v>2529.34</v>
      </c>
      <c r="K160" s="15">
        <v>598</v>
      </c>
      <c r="L160" s="6"/>
      <c r="M160" s="31"/>
      <c r="N160" s="11">
        <f>K160</f>
        <v>598</v>
      </c>
    </row>
    <row r="161" spans="1:14" x14ac:dyDescent="0.25">
      <c r="A161" s="6" t="s">
        <v>419</v>
      </c>
      <c r="B161" s="7">
        <f t="shared" ref="B161:B172" ca="1" si="55">$I$1-I161</f>
        <v>93</v>
      </c>
      <c r="C161" s="7"/>
      <c r="D161" s="7"/>
      <c r="E161" s="7"/>
      <c r="F161" s="7" t="s">
        <v>1183</v>
      </c>
      <c r="G161" s="6" t="s">
        <v>420</v>
      </c>
      <c r="H161" s="7" t="s">
        <v>13</v>
      </c>
      <c r="I161" s="8" t="s">
        <v>290</v>
      </c>
      <c r="J161" s="9">
        <v>3240</v>
      </c>
      <c r="K161" s="15">
        <v>598</v>
      </c>
      <c r="L161" s="6"/>
      <c r="M161" s="31"/>
      <c r="N161" s="11">
        <f>K161</f>
        <v>598</v>
      </c>
    </row>
    <row r="162" spans="1:14" x14ac:dyDescent="0.25">
      <c r="A162" s="6" t="s">
        <v>421</v>
      </c>
      <c r="B162" s="7">
        <f t="shared" ca="1" si="55"/>
        <v>106</v>
      </c>
      <c r="C162" s="12">
        <v>4</v>
      </c>
      <c r="D162" s="10">
        <v>49.9</v>
      </c>
      <c r="E162" s="10">
        <f>D162*C162</f>
        <v>199.6</v>
      </c>
      <c r="F162" s="7" t="s">
        <v>1183</v>
      </c>
      <c r="G162" s="6" t="s">
        <v>422</v>
      </c>
      <c r="H162" s="7" t="s">
        <v>1197</v>
      </c>
      <c r="I162" s="8" t="s">
        <v>96</v>
      </c>
      <c r="J162" s="9">
        <v>2640</v>
      </c>
      <c r="K162" s="15">
        <v>598</v>
      </c>
      <c r="L162" s="11">
        <f>E162</f>
        <v>199.6</v>
      </c>
      <c r="M162" s="31">
        <f>Tabela2[[#This Row],[R$TOTAL FÉRIAS FACIL ]]-Tabela2[[#This Row],[R$ PARCELADO]]</f>
        <v>398.4</v>
      </c>
      <c r="N162" s="6"/>
    </row>
    <row r="163" spans="1:14" x14ac:dyDescent="0.25">
      <c r="A163" s="6" t="s">
        <v>423</v>
      </c>
      <c r="B163" s="7">
        <f t="shared" ca="1" si="55"/>
        <v>119</v>
      </c>
      <c r="C163" s="7"/>
      <c r="D163" s="7"/>
      <c r="E163" s="7"/>
      <c r="F163" s="7" t="s">
        <v>1183</v>
      </c>
      <c r="G163" s="6" t="s">
        <v>424</v>
      </c>
      <c r="H163" s="7" t="s">
        <v>13</v>
      </c>
      <c r="I163" s="8" t="s">
        <v>235</v>
      </c>
      <c r="J163" s="9">
        <v>2244</v>
      </c>
      <c r="K163" s="15">
        <v>598</v>
      </c>
      <c r="L163" s="6"/>
      <c r="M163" s="31"/>
      <c r="N163" s="11">
        <f>K163</f>
        <v>598</v>
      </c>
    </row>
    <row r="164" spans="1:14" x14ac:dyDescent="0.25">
      <c r="A164" s="6" t="s">
        <v>425</v>
      </c>
      <c r="B164" s="7">
        <f t="shared" ca="1" si="55"/>
        <v>115</v>
      </c>
      <c r="C164" s="12">
        <v>4</v>
      </c>
      <c r="D164" s="10">
        <v>49.9</v>
      </c>
      <c r="E164" s="10">
        <f t="shared" ref="E164:E171" si="56">D164*C164</f>
        <v>199.6</v>
      </c>
      <c r="F164" s="7" t="s">
        <v>1183</v>
      </c>
      <c r="G164" s="6" t="s">
        <v>426</v>
      </c>
      <c r="H164" s="7" t="s">
        <v>1197</v>
      </c>
      <c r="I164" s="8" t="s">
        <v>273</v>
      </c>
      <c r="J164" s="9">
        <v>2640</v>
      </c>
      <c r="K164" s="15">
        <v>598</v>
      </c>
      <c r="L164" s="11">
        <f t="shared" ref="L164:L171" si="57">E164</f>
        <v>199.6</v>
      </c>
      <c r="M164" s="31">
        <f>Tabela2[[#This Row],[R$TOTAL FÉRIAS FACIL ]]-Tabela2[[#This Row],[R$ PARCELADO]]</f>
        <v>398.4</v>
      </c>
      <c r="N164" s="6"/>
    </row>
    <row r="165" spans="1:14" x14ac:dyDescent="0.25">
      <c r="A165" s="6" t="s">
        <v>427</v>
      </c>
      <c r="B165" s="7">
        <f t="shared" ca="1" si="55"/>
        <v>115</v>
      </c>
      <c r="C165" s="12">
        <v>4</v>
      </c>
      <c r="D165" s="10">
        <v>49.9</v>
      </c>
      <c r="E165" s="10">
        <f t="shared" si="56"/>
        <v>199.6</v>
      </c>
      <c r="F165" s="7" t="s">
        <v>1183</v>
      </c>
      <c r="G165" s="6" t="s">
        <v>428</v>
      </c>
      <c r="H165" s="7" t="s">
        <v>1197</v>
      </c>
      <c r="I165" s="8" t="s">
        <v>273</v>
      </c>
      <c r="J165" s="9">
        <v>2840</v>
      </c>
      <c r="K165" s="15">
        <v>598</v>
      </c>
      <c r="L165" s="11">
        <f t="shared" si="57"/>
        <v>199.6</v>
      </c>
      <c r="M165" s="31">
        <f>Tabela2[[#This Row],[R$TOTAL FÉRIAS FACIL ]]-Tabela2[[#This Row],[R$ PARCELADO]]</f>
        <v>398.4</v>
      </c>
      <c r="N165" s="6"/>
    </row>
    <row r="166" spans="1:14" x14ac:dyDescent="0.25">
      <c r="A166" s="6" t="s">
        <v>429</v>
      </c>
      <c r="B166" s="7">
        <f t="shared" ca="1" si="55"/>
        <v>118</v>
      </c>
      <c r="C166" s="12">
        <v>4</v>
      </c>
      <c r="D166" s="10">
        <v>49.9</v>
      </c>
      <c r="E166" s="10">
        <f t="shared" si="56"/>
        <v>199.6</v>
      </c>
      <c r="F166" s="7" t="s">
        <v>1183</v>
      </c>
      <c r="G166" s="6" t="s">
        <v>430</v>
      </c>
      <c r="H166" s="7" t="s">
        <v>1197</v>
      </c>
      <c r="I166" s="8" t="s">
        <v>178</v>
      </c>
      <c r="J166" s="9">
        <v>2840</v>
      </c>
      <c r="K166" s="15">
        <v>598</v>
      </c>
      <c r="L166" s="11">
        <f t="shared" si="57"/>
        <v>199.6</v>
      </c>
      <c r="M166" s="31">
        <f>Tabela2[[#This Row],[R$TOTAL FÉRIAS FACIL ]]-Tabela2[[#This Row],[R$ PARCELADO]]</f>
        <v>398.4</v>
      </c>
      <c r="N166" s="6"/>
    </row>
    <row r="167" spans="1:14" x14ac:dyDescent="0.25">
      <c r="A167" s="6" t="s">
        <v>431</v>
      </c>
      <c r="B167" s="7">
        <f t="shared" ca="1" si="55"/>
        <v>87</v>
      </c>
      <c r="C167" s="7">
        <v>3</v>
      </c>
      <c r="D167" s="10">
        <v>49.9</v>
      </c>
      <c r="E167" s="10">
        <f t="shared" si="56"/>
        <v>149.69999999999999</v>
      </c>
      <c r="F167" s="7" t="s">
        <v>1183</v>
      </c>
      <c r="G167" s="6" t="s">
        <v>432</v>
      </c>
      <c r="H167" s="7" t="s">
        <v>1197</v>
      </c>
      <c r="I167" s="8" t="s">
        <v>187</v>
      </c>
      <c r="J167" s="9">
        <v>2840</v>
      </c>
      <c r="K167" s="15">
        <v>598</v>
      </c>
      <c r="L167" s="11">
        <f t="shared" si="57"/>
        <v>149.69999999999999</v>
      </c>
      <c r="M167" s="31">
        <f>Tabela2[[#This Row],[R$TOTAL FÉRIAS FACIL ]]-Tabela2[[#This Row],[R$ PARCELADO]]</f>
        <v>448.3</v>
      </c>
      <c r="N167" s="6"/>
    </row>
    <row r="168" spans="1:14" x14ac:dyDescent="0.25">
      <c r="A168" s="6" t="s">
        <v>433</v>
      </c>
      <c r="B168" s="7">
        <f t="shared" ca="1" si="55"/>
        <v>116</v>
      </c>
      <c r="C168" s="12">
        <v>4</v>
      </c>
      <c r="D168" s="10">
        <v>49.9</v>
      </c>
      <c r="E168" s="10">
        <f t="shared" si="56"/>
        <v>199.6</v>
      </c>
      <c r="F168" s="7" t="s">
        <v>1183</v>
      </c>
      <c r="G168" s="6" t="s">
        <v>434</v>
      </c>
      <c r="H168" s="7" t="s">
        <v>1197</v>
      </c>
      <c r="I168" s="8" t="s">
        <v>226</v>
      </c>
      <c r="J168" s="9">
        <v>2640</v>
      </c>
      <c r="K168" s="15">
        <v>598</v>
      </c>
      <c r="L168" s="11">
        <f t="shared" si="57"/>
        <v>199.6</v>
      </c>
      <c r="M168" s="31">
        <f>Tabela2[[#This Row],[R$TOTAL FÉRIAS FACIL ]]-Tabela2[[#This Row],[R$ PARCELADO]]</f>
        <v>398.4</v>
      </c>
      <c r="N168" s="6"/>
    </row>
    <row r="169" spans="1:14" x14ac:dyDescent="0.25">
      <c r="A169" s="6" t="s">
        <v>435</v>
      </c>
      <c r="B169" s="7">
        <f t="shared" ca="1" si="55"/>
        <v>103</v>
      </c>
      <c r="C169" s="7">
        <v>3</v>
      </c>
      <c r="D169" s="10">
        <v>49.9</v>
      </c>
      <c r="E169" s="10">
        <f t="shared" si="56"/>
        <v>149.69999999999999</v>
      </c>
      <c r="F169" s="7" t="s">
        <v>1183</v>
      </c>
      <c r="G169" s="6" t="s">
        <v>436</v>
      </c>
      <c r="H169" s="7" t="s">
        <v>1197</v>
      </c>
      <c r="I169" s="8" t="s">
        <v>101</v>
      </c>
      <c r="J169" s="9">
        <v>2840</v>
      </c>
      <c r="K169" s="15">
        <v>598</v>
      </c>
      <c r="L169" s="11">
        <f t="shared" si="57"/>
        <v>149.69999999999999</v>
      </c>
      <c r="M169" s="31">
        <f>Tabela2[[#This Row],[R$TOTAL FÉRIAS FACIL ]]-Tabela2[[#This Row],[R$ PARCELADO]]</f>
        <v>448.3</v>
      </c>
      <c r="N169" s="6"/>
    </row>
    <row r="170" spans="1:14" x14ac:dyDescent="0.25">
      <c r="A170" s="6" t="s">
        <v>437</v>
      </c>
      <c r="B170" s="7">
        <f t="shared" ca="1" si="55"/>
        <v>124</v>
      </c>
      <c r="C170" s="12">
        <v>4</v>
      </c>
      <c r="D170" s="10">
        <v>49.9</v>
      </c>
      <c r="E170" s="10">
        <f t="shared" si="56"/>
        <v>199.6</v>
      </c>
      <c r="F170" s="7" t="s">
        <v>1183</v>
      </c>
      <c r="G170" s="6" t="s">
        <v>438</v>
      </c>
      <c r="H170" s="7" t="s">
        <v>1197</v>
      </c>
      <c r="I170" s="8" t="s">
        <v>78</v>
      </c>
      <c r="J170" s="9">
        <v>2840</v>
      </c>
      <c r="K170" s="15">
        <v>598</v>
      </c>
      <c r="L170" s="11">
        <f t="shared" si="57"/>
        <v>199.6</v>
      </c>
      <c r="M170" s="31">
        <f>Tabela2[[#This Row],[R$TOTAL FÉRIAS FACIL ]]-Tabela2[[#This Row],[R$ PARCELADO]]</f>
        <v>398.4</v>
      </c>
      <c r="N170" s="6"/>
    </row>
    <row r="171" spans="1:14" x14ac:dyDescent="0.25">
      <c r="A171" s="6" t="s">
        <v>439</v>
      </c>
      <c r="B171" s="7">
        <f t="shared" ca="1" si="55"/>
        <v>95</v>
      </c>
      <c r="C171" s="7">
        <v>3</v>
      </c>
      <c r="D171" s="10">
        <v>49.9</v>
      </c>
      <c r="E171" s="10">
        <f t="shared" si="56"/>
        <v>149.69999999999999</v>
      </c>
      <c r="F171" s="7" t="s">
        <v>1183</v>
      </c>
      <c r="G171" s="6" t="s">
        <v>440</v>
      </c>
      <c r="H171" s="7" t="s">
        <v>1197</v>
      </c>
      <c r="I171" s="8" t="s">
        <v>280</v>
      </c>
      <c r="J171" s="9">
        <v>2840</v>
      </c>
      <c r="K171" s="15">
        <v>598</v>
      </c>
      <c r="L171" s="11">
        <f t="shared" si="57"/>
        <v>149.69999999999999</v>
      </c>
      <c r="M171" s="31">
        <f>Tabela2[[#This Row],[R$TOTAL FÉRIAS FACIL ]]-Tabela2[[#This Row],[R$ PARCELADO]]</f>
        <v>448.3</v>
      </c>
      <c r="N171" s="6"/>
    </row>
    <row r="172" spans="1:14" x14ac:dyDescent="0.25">
      <c r="A172" s="6" t="s">
        <v>441</v>
      </c>
      <c r="B172" s="7">
        <f t="shared" ca="1" si="55"/>
        <v>96</v>
      </c>
      <c r="C172" s="7"/>
      <c r="D172" s="7"/>
      <c r="E172" s="7"/>
      <c r="F172" s="7" t="s">
        <v>1183</v>
      </c>
      <c r="G172" s="6" t="s">
        <v>442</v>
      </c>
      <c r="H172" s="7" t="s">
        <v>13</v>
      </c>
      <c r="I172" s="8" t="s">
        <v>112</v>
      </c>
      <c r="J172" s="9">
        <v>2244</v>
      </c>
      <c r="K172" s="15">
        <v>598</v>
      </c>
      <c r="L172" s="6"/>
      <c r="M172" s="31"/>
      <c r="N172" s="11">
        <f>K172</f>
        <v>598</v>
      </c>
    </row>
    <row r="173" spans="1:14" x14ac:dyDescent="0.25">
      <c r="A173" s="6" t="s">
        <v>443</v>
      </c>
      <c r="B173" s="6"/>
      <c r="C173" s="6"/>
      <c r="D173" s="6"/>
      <c r="E173" s="6"/>
      <c r="F173" s="7" t="s">
        <v>1183</v>
      </c>
      <c r="G173" s="6" t="s">
        <v>444</v>
      </c>
      <c r="H173" s="7" t="s">
        <v>13</v>
      </c>
      <c r="I173" s="8" t="s">
        <v>445</v>
      </c>
      <c r="J173" s="9">
        <v>2840</v>
      </c>
      <c r="K173" s="15">
        <v>598</v>
      </c>
      <c r="L173" s="6"/>
      <c r="M173" s="31"/>
      <c r="N173" s="11">
        <f>K173</f>
        <v>598</v>
      </c>
    </row>
    <row r="174" spans="1:14" x14ac:dyDescent="0.25">
      <c r="A174" s="6" t="s">
        <v>446</v>
      </c>
      <c r="B174" s="7">
        <f t="shared" ref="B174:B186" ca="1" si="58">$I$1-I174</f>
        <v>97</v>
      </c>
      <c r="C174" s="7"/>
      <c r="D174" s="7"/>
      <c r="E174" s="7"/>
      <c r="F174" s="7" t="s">
        <v>1183</v>
      </c>
      <c r="G174" s="6" t="s">
        <v>447</v>
      </c>
      <c r="H174" s="7" t="s">
        <v>13</v>
      </c>
      <c r="I174" s="8" t="s">
        <v>395</v>
      </c>
      <c r="J174" s="9">
        <v>2244</v>
      </c>
      <c r="K174" s="15">
        <v>598</v>
      </c>
      <c r="L174" s="6"/>
      <c r="M174" s="31"/>
      <c r="N174" s="11">
        <f>K174</f>
        <v>598</v>
      </c>
    </row>
    <row r="175" spans="1:14" x14ac:dyDescent="0.25">
      <c r="A175" s="6" t="s">
        <v>448</v>
      </c>
      <c r="B175" s="7">
        <f t="shared" ca="1" si="58"/>
        <v>98</v>
      </c>
      <c r="C175" s="7">
        <v>3</v>
      </c>
      <c r="D175" s="10">
        <v>49.9</v>
      </c>
      <c r="E175" s="10">
        <f>D175*C175</f>
        <v>149.69999999999999</v>
      </c>
      <c r="F175" s="7" t="s">
        <v>1183</v>
      </c>
      <c r="G175" s="6" t="s">
        <v>449</v>
      </c>
      <c r="H175" s="7" t="s">
        <v>1197</v>
      </c>
      <c r="I175" s="8">
        <v>46022</v>
      </c>
      <c r="J175" s="9">
        <v>2485</v>
      </c>
      <c r="K175" s="15">
        <v>598</v>
      </c>
      <c r="L175" s="11">
        <f>E175</f>
        <v>149.69999999999999</v>
      </c>
      <c r="M175" s="31">
        <f>Tabela2[[#This Row],[R$TOTAL FÉRIAS FACIL ]]-Tabela2[[#This Row],[R$ PARCELADO]]</f>
        <v>448.3</v>
      </c>
      <c r="N175" s="6"/>
    </row>
    <row r="176" spans="1:14" x14ac:dyDescent="0.25">
      <c r="A176" s="6" t="s">
        <v>450</v>
      </c>
      <c r="B176" s="7">
        <f t="shared" ca="1" si="58"/>
        <v>100</v>
      </c>
      <c r="C176" s="7"/>
      <c r="D176" s="7"/>
      <c r="E176" s="7"/>
      <c r="F176" s="7" t="s">
        <v>1183</v>
      </c>
      <c r="G176" s="6" t="s">
        <v>451</v>
      </c>
      <c r="H176" s="7" t="s">
        <v>13</v>
      </c>
      <c r="I176" s="8" t="s">
        <v>107</v>
      </c>
      <c r="J176" s="9">
        <v>2040</v>
      </c>
      <c r="K176" s="15">
        <v>598</v>
      </c>
      <c r="L176" s="6"/>
      <c r="M176" s="31"/>
      <c r="N176" s="11">
        <f>K176</f>
        <v>598</v>
      </c>
    </row>
    <row r="177" spans="1:14" x14ac:dyDescent="0.25">
      <c r="A177" s="6" t="s">
        <v>452</v>
      </c>
      <c r="B177" s="7">
        <f t="shared" ca="1" si="58"/>
        <v>96</v>
      </c>
      <c r="C177" s="7">
        <v>3</v>
      </c>
      <c r="D177" s="10">
        <v>49.9</v>
      </c>
      <c r="E177" s="10">
        <f t="shared" ref="E177:E178" si="59">D177*C177</f>
        <v>149.69999999999999</v>
      </c>
      <c r="F177" s="7" t="s">
        <v>1183</v>
      </c>
      <c r="G177" s="6" t="s">
        <v>453</v>
      </c>
      <c r="H177" s="7" t="s">
        <v>1197</v>
      </c>
      <c r="I177" s="8" t="s">
        <v>112</v>
      </c>
      <c r="J177" s="9">
        <v>2840</v>
      </c>
      <c r="K177" s="15">
        <v>598</v>
      </c>
      <c r="L177" s="11">
        <f t="shared" ref="L177:L178" si="60">E177</f>
        <v>149.69999999999999</v>
      </c>
      <c r="M177" s="31">
        <f>Tabela2[[#This Row],[R$TOTAL FÉRIAS FACIL ]]-Tabela2[[#This Row],[R$ PARCELADO]]</f>
        <v>448.3</v>
      </c>
      <c r="N177" s="6"/>
    </row>
    <row r="178" spans="1:14" x14ac:dyDescent="0.25">
      <c r="A178" s="6" t="s">
        <v>454</v>
      </c>
      <c r="B178" s="7">
        <f t="shared" ca="1" si="58"/>
        <v>92</v>
      </c>
      <c r="C178" s="7">
        <v>3</v>
      </c>
      <c r="D178" s="10">
        <v>49.9</v>
      </c>
      <c r="E178" s="10">
        <f t="shared" si="59"/>
        <v>149.69999999999999</v>
      </c>
      <c r="F178" s="7" t="s">
        <v>1183</v>
      </c>
      <c r="G178" s="6" t="s">
        <v>455</v>
      </c>
      <c r="H178" s="7" t="s">
        <v>1197</v>
      </c>
      <c r="I178" s="8" t="s">
        <v>21</v>
      </c>
      <c r="J178" s="9">
        <v>2840</v>
      </c>
      <c r="K178" s="15">
        <v>598</v>
      </c>
      <c r="L178" s="11">
        <f t="shared" si="60"/>
        <v>149.69999999999999</v>
      </c>
      <c r="M178" s="31">
        <f>Tabela2[[#This Row],[R$TOTAL FÉRIAS FACIL ]]-Tabela2[[#This Row],[R$ PARCELADO]]</f>
        <v>448.3</v>
      </c>
      <c r="N178" s="6"/>
    </row>
    <row r="179" spans="1:14" x14ac:dyDescent="0.25">
      <c r="A179" s="6" t="s">
        <v>456</v>
      </c>
      <c r="B179" s="7">
        <f t="shared" ca="1" si="58"/>
        <v>93</v>
      </c>
      <c r="C179" s="7"/>
      <c r="D179" s="7"/>
      <c r="E179" s="7"/>
      <c r="F179" s="7" t="s">
        <v>1183</v>
      </c>
      <c r="G179" s="6" t="s">
        <v>457</v>
      </c>
      <c r="H179" s="7" t="s">
        <v>13</v>
      </c>
      <c r="I179" s="8" t="s">
        <v>290</v>
      </c>
      <c r="J179" s="9">
        <v>2244</v>
      </c>
      <c r="K179" s="15">
        <v>598</v>
      </c>
      <c r="L179" s="6"/>
      <c r="M179" s="31"/>
      <c r="N179" s="11">
        <f>K179</f>
        <v>598</v>
      </c>
    </row>
    <row r="180" spans="1:14" x14ac:dyDescent="0.25">
      <c r="A180" s="6" t="s">
        <v>458</v>
      </c>
      <c r="B180" s="7">
        <f t="shared" ca="1" si="58"/>
        <v>100</v>
      </c>
      <c r="C180" s="7">
        <v>3</v>
      </c>
      <c r="D180" s="10">
        <v>49.9</v>
      </c>
      <c r="E180" s="10">
        <f>D180*C180</f>
        <v>149.69999999999999</v>
      </c>
      <c r="F180" s="7" t="s">
        <v>1183</v>
      </c>
      <c r="G180" s="6" t="s">
        <v>459</v>
      </c>
      <c r="H180" s="7" t="s">
        <v>1197</v>
      </c>
      <c r="I180" s="8" t="s">
        <v>107</v>
      </c>
      <c r="J180" s="9">
        <v>2840</v>
      </c>
      <c r="K180" s="15">
        <v>598</v>
      </c>
      <c r="L180" s="11">
        <f>E180</f>
        <v>149.69999999999999</v>
      </c>
      <c r="M180" s="31">
        <f>Tabela2[[#This Row],[R$TOTAL FÉRIAS FACIL ]]-Tabela2[[#This Row],[R$ PARCELADO]]</f>
        <v>448.3</v>
      </c>
      <c r="N180" s="6"/>
    </row>
    <row r="181" spans="1:14" x14ac:dyDescent="0.25">
      <c r="A181" s="6" t="s">
        <v>460</v>
      </c>
      <c r="B181" s="7">
        <f t="shared" ca="1" si="58"/>
        <v>99</v>
      </c>
      <c r="C181" s="7"/>
      <c r="D181" s="7"/>
      <c r="E181" s="7"/>
      <c r="F181" s="7" t="s">
        <v>1183</v>
      </c>
      <c r="G181" s="6" t="s">
        <v>461</v>
      </c>
      <c r="H181" s="7" t="s">
        <v>13</v>
      </c>
      <c r="I181" s="8" t="s">
        <v>375</v>
      </c>
      <c r="J181" s="9">
        <v>2244</v>
      </c>
      <c r="K181" s="15">
        <v>598</v>
      </c>
      <c r="L181" s="6"/>
      <c r="M181" s="31"/>
      <c r="N181" s="11">
        <f t="shared" ref="N181:N183" si="61">K181</f>
        <v>598</v>
      </c>
    </row>
    <row r="182" spans="1:14" x14ac:dyDescent="0.25">
      <c r="A182" s="6" t="s">
        <v>462</v>
      </c>
      <c r="B182" s="7">
        <f t="shared" ca="1" si="58"/>
        <v>80</v>
      </c>
      <c r="C182" s="7"/>
      <c r="D182" s="7"/>
      <c r="E182" s="7"/>
      <c r="F182" s="7" t="s">
        <v>1183</v>
      </c>
      <c r="G182" s="6" t="s">
        <v>463</v>
      </c>
      <c r="H182" s="7" t="s">
        <v>13</v>
      </c>
      <c r="I182" s="8" t="s">
        <v>400</v>
      </c>
      <c r="J182" s="9">
        <v>2039.03</v>
      </c>
      <c r="K182" s="15">
        <v>598</v>
      </c>
      <c r="L182" s="6"/>
      <c r="M182" s="31"/>
      <c r="N182" s="11">
        <f t="shared" si="61"/>
        <v>598</v>
      </c>
    </row>
    <row r="183" spans="1:14" x14ac:dyDescent="0.25">
      <c r="A183" s="6" t="s">
        <v>464</v>
      </c>
      <c r="B183" s="7">
        <f t="shared" ca="1" si="58"/>
        <v>96</v>
      </c>
      <c r="C183" s="7"/>
      <c r="D183" s="7"/>
      <c r="E183" s="7"/>
      <c r="F183" s="7" t="s">
        <v>1183</v>
      </c>
      <c r="G183" s="6" t="s">
        <v>465</v>
      </c>
      <c r="H183" s="7" t="s">
        <v>13</v>
      </c>
      <c r="I183" s="8" t="s">
        <v>112</v>
      </c>
      <c r="J183" s="9">
        <v>2040</v>
      </c>
      <c r="K183" s="15">
        <v>598</v>
      </c>
      <c r="L183" s="6"/>
      <c r="M183" s="31"/>
      <c r="N183" s="11">
        <f t="shared" si="61"/>
        <v>598</v>
      </c>
    </row>
    <row r="184" spans="1:14" x14ac:dyDescent="0.25">
      <c r="A184" s="6" t="s">
        <v>466</v>
      </c>
      <c r="B184" s="7">
        <f t="shared" ca="1" si="58"/>
        <v>89</v>
      </c>
      <c r="C184" s="7">
        <v>3</v>
      </c>
      <c r="D184" s="10">
        <v>49.9</v>
      </c>
      <c r="E184" s="10">
        <f>D184*C184</f>
        <v>149.69999999999999</v>
      </c>
      <c r="F184" s="7" t="s">
        <v>1183</v>
      </c>
      <c r="G184" s="6" t="s">
        <v>467</v>
      </c>
      <c r="H184" s="7" t="s">
        <v>1197</v>
      </c>
      <c r="I184" s="8" t="s">
        <v>247</v>
      </c>
      <c r="J184" s="9">
        <v>2840</v>
      </c>
      <c r="K184" s="15">
        <v>598</v>
      </c>
      <c r="L184" s="11">
        <f>E184</f>
        <v>149.69999999999999</v>
      </c>
      <c r="M184" s="31">
        <f>Tabela2[[#This Row],[R$TOTAL FÉRIAS FACIL ]]-Tabela2[[#This Row],[R$ PARCELADO]]</f>
        <v>448.3</v>
      </c>
      <c r="N184" s="6"/>
    </row>
    <row r="185" spans="1:14" x14ac:dyDescent="0.25">
      <c r="A185" s="6" t="s">
        <v>468</v>
      </c>
      <c r="B185" s="7">
        <f t="shared" ca="1" si="58"/>
        <v>73</v>
      </c>
      <c r="C185" s="7"/>
      <c r="D185" s="7"/>
      <c r="E185" s="7"/>
      <c r="F185" s="7" t="s">
        <v>1183</v>
      </c>
      <c r="G185" s="6" t="s">
        <v>469</v>
      </c>
      <c r="H185" s="7" t="s">
        <v>13</v>
      </c>
      <c r="I185" s="8" t="s">
        <v>324</v>
      </c>
      <c r="J185" s="9">
        <v>2244</v>
      </c>
      <c r="K185" s="15">
        <v>598</v>
      </c>
      <c r="L185" s="6"/>
      <c r="M185" s="31"/>
      <c r="N185" s="11">
        <f t="shared" ref="N185:N186" si="62">K185</f>
        <v>598</v>
      </c>
    </row>
    <row r="186" spans="1:14" x14ac:dyDescent="0.25">
      <c r="A186" s="6" t="s">
        <v>470</v>
      </c>
      <c r="B186" s="7">
        <f t="shared" ca="1" si="58"/>
        <v>80</v>
      </c>
      <c r="C186" s="7"/>
      <c r="D186" s="7"/>
      <c r="E186" s="7"/>
      <c r="F186" s="7" t="s">
        <v>1183</v>
      </c>
      <c r="G186" s="6" t="s">
        <v>471</v>
      </c>
      <c r="H186" s="7" t="s">
        <v>13</v>
      </c>
      <c r="I186" s="8" t="s">
        <v>400</v>
      </c>
      <c r="J186" s="9">
        <v>2040</v>
      </c>
      <c r="K186" s="15">
        <v>598</v>
      </c>
      <c r="L186" s="6"/>
      <c r="M186" s="31"/>
      <c r="N186" s="11">
        <f t="shared" si="62"/>
        <v>598</v>
      </c>
    </row>
    <row r="187" spans="1:14" x14ac:dyDescent="0.25">
      <c r="A187" s="6" t="s">
        <v>472</v>
      </c>
      <c r="B187" s="6"/>
      <c r="C187" s="6"/>
      <c r="D187" s="6"/>
      <c r="E187" s="6"/>
      <c r="F187" s="7" t="s">
        <v>1183</v>
      </c>
      <c r="G187" s="6" t="s">
        <v>473</v>
      </c>
      <c r="H187" s="7" t="s">
        <v>13</v>
      </c>
      <c r="I187" s="8" t="s">
        <v>137</v>
      </c>
      <c r="J187" s="9">
        <v>2640</v>
      </c>
      <c r="K187" s="15">
        <v>598</v>
      </c>
      <c r="L187" s="6"/>
      <c r="M187" s="31"/>
      <c r="N187" s="11">
        <f>K187</f>
        <v>598</v>
      </c>
    </row>
    <row r="188" spans="1:14" x14ac:dyDescent="0.25">
      <c r="A188" s="6" t="s">
        <v>474</v>
      </c>
      <c r="B188" s="7">
        <f t="shared" ref="B188:B219" ca="1" si="63">$I$1-I188</f>
        <v>95</v>
      </c>
      <c r="C188" s="7"/>
      <c r="D188" s="7"/>
      <c r="E188" s="7"/>
      <c r="F188" s="7" t="s">
        <v>1183</v>
      </c>
      <c r="G188" s="6" t="s">
        <v>475</v>
      </c>
      <c r="H188" s="7" t="s">
        <v>13</v>
      </c>
      <c r="I188" s="8" t="s">
        <v>280</v>
      </c>
      <c r="J188" s="9">
        <v>2040</v>
      </c>
      <c r="K188" s="15">
        <v>598</v>
      </c>
      <c r="L188" s="6"/>
      <c r="M188" s="31"/>
      <c r="N188" s="11">
        <f t="shared" ref="N188:N190" si="64">K188</f>
        <v>598</v>
      </c>
    </row>
    <row r="189" spans="1:14" x14ac:dyDescent="0.25">
      <c r="A189" s="6" t="s">
        <v>476</v>
      </c>
      <c r="B189" s="7">
        <f t="shared" ca="1" si="63"/>
        <v>109</v>
      </c>
      <c r="C189" s="7"/>
      <c r="D189" s="7"/>
      <c r="E189" s="7"/>
      <c r="F189" s="7" t="s">
        <v>1183</v>
      </c>
      <c r="G189" s="6" t="s">
        <v>477</v>
      </c>
      <c r="H189" s="7" t="s">
        <v>13</v>
      </c>
      <c r="I189" s="8" t="s">
        <v>301</v>
      </c>
      <c r="J189" s="9">
        <v>2244</v>
      </c>
      <c r="K189" s="15">
        <v>598</v>
      </c>
      <c r="L189" s="6"/>
      <c r="M189" s="31"/>
      <c r="N189" s="11">
        <f t="shared" si="64"/>
        <v>598</v>
      </c>
    </row>
    <row r="190" spans="1:14" x14ac:dyDescent="0.25">
      <c r="A190" s="6" t="s">
        <v>478</v>
      </c>
      <c r="B190" s="7">
        <f t="shared" ca="1" si="63"/>
        <v>119</v>
      </c>
      <c r="C190" s="7"/>
      <c r="D190" s="7"/>
      <c r="E190" s="7"/>
      <c r="F190" s="7" t="s">
        <v>1183</v>
      </c>
      <c r="G190" s="6" t="s">
        <v>479</v>
      </c>
      <c r="H190" s="7" t="s">
        <v>13</v>
      </c>
      <c r="I190" s="8" t="s">
        <v>235</v>
      </c>
      <c r="J190" s="9">
        <v>2244</v>
      </c>
      <c r="K190" s="15">
        <v>598</v>
      </c>
      <c r="L190" s="6"/>
      <c r="M190" s="31"/>
      <c r="N190" s="11">
        <f t="shared" si="64"/>
        <v>598</v>
      </c>
    </row>
    <row r="191" spans="1:14" x14ac:dyDescent="0.25">
      <c r="A191" s="6" t="s">
        <v>480</v>
      </c>
      <c r="B191" s="7">
        <f t="shared" ca="1" si="63"/>
        <v>89</v>
      </c>
      <c r="C191" s="7">
        <v>3</v>
      </c>
      <c r="D191" s="10">
        <v>49.9</v>
      </c>
      <c r="E191" s="10">
        <f t="shared" ref="E191:E192" si="65">D191*C191</f>
        <v>149.69999999999999</v>
      </c>
      <c r="F191" s="7" t="s">
        <v>1183</v>
      </c>
      <c r="G191" s="6" t="s">
        <v>481</v>
      </c>
      <c r="H191" s="7" t="s">
        <v>1197</v>
      </c>
      <c r="I191" s="8" t="s">
        <v>247</v>
      </c>
      <c r="J191" s="9">
        <v>2840</v>
      </c>
      <c r="K191" s="15">
        <v>598</v>
      </c>
      <c r="L191" s="11">
        <f t="shared" ref="L191:L192" si="66">E191</f>
        <v>149.69999999999999</v>
      </c>
      <c r="M191" s="31">
        <f>Tabela2[[#This Row],[R$TOTAL FÉRIAS FACIL ]]-Tabela2[[#This Row],[R$ PARCELADO]]</f>
        <v>448.3</v>
      </c>
      <c r="N191" s="6"/>
    </row>
    <row r="192" spans="1:14" x14ac:dyDescent="0.25">
      <c r="A192" s="6" t="s">
        <v>482</v>
      </c>
      <c r="B192" s="7">
        <f t="shared" ca="1" si="63"/>
        <v>79</v>
      </c>
      <c r="C192" s="7">
        <v>3</v>
      </c>
      <c r="D192" s="10">
        <v>49.9</v>
      </c>
      <c r="E192" s="10">
        <f t="shared" si="65"/>
        <v>149.69999999999999</v>
      </c>
      <c r="F192" s="7" t="s">
        <v>1183</v>
      </c>
      <c r="G192" s="6" t="s">
        <v>483</v>
      </c>
      <c r="H192" s="7" t="s">
        <v>1197</v>
      </c>
      <c r="I192" s="8" t="s">
        <v>237</v>
      </c>
      <c r="J192" s="9">
        <v>2840</v>
      </c>
      <c r="K192" s="15">
        <v>598</v>
      </c>
      <c r="L192" s="11">
        <f t="shared" si="66"/>
        <v>149.69999999999999</v>
      </c>
      <c r="M192" s="31">
        <f>Tabela2[[#This Row],[R$TOTAL FÉRIAS FACIL ]]-Tabela2[[#This Row],[R$ PARCELADO]]</f>
        <v>448.3</v>
      </c>
      <c r="N192" s="6"/>
    </row>
    <row r="193" spans="1:14" x14ac:dyDescent="0.25">
      <c r="A193" s="6" t="s">
        <v>485</v>
      </c>
      <c r="B193" s="7">
        <f t="shared" ca="1" si="63"/>
        <v>84</v>
      </c>
      <c r="C193" s="7"/>
      <c r="D193" s="7"/>
      <c r="E193" s="7"/>
      <c r="F193" s="7" t="s">
        <v>1183</v>
      </c>
      <c r="G193" s="6" t="s">
        <v>486</v>
      </c>
      <c r="H193" s="7" t="s">
        <v>13</v>
      </c>
      <c r="I193" s="8" t="s">
        <v>190</v>
      </c>
      <c r="J193" s="9">
        <v>2040</v>
      </c>
      <c r="K193" s="15">
        <v>598</v>
      </c>
      <c r="L193" s="6"/>
      <c r="M193" s="31"/>
      <c r="N193" s="11">
        <f t="shared" ref="N193:N194" si="67">K193</f>
        <v>598</v>
      </c>
    </row>
    <row r="194" spans="1:14" x14ac:dyDescent="0.25">
      <c r="A194" s="6" t="s">
        <v>487</v>
      </c>
      <c r="B194" s="7">
        <f t="shared" ca="1" si="63"/>
        <v>70</v>
      </c>
      <c r="C194" s="7"/>
      <c r="D194" s="7"/>
      <c r="E194" s="7"/>
      <c r="F194" s="7" t="s">
        <v>1183</v>
      </c>
      <c r="G194" s="6" t="s">
        <v>488</v>
      </c>
      <c r="H194" s="7" t="s">
        <v>13</v>
      </c>
      <c r="I194" s="8" t="s">
        <v>489</v>
      </c>
      <c r="J194" s="9">
        <v>2244</v>
      </c>
      <c r="K194" s="15">
        <v>598</v>
      </c>
      <c r="L194" s="6"/>
      <c r="M194" s="31"/>
      <c r="N194" s="11">
        <f t="shared" si="67"/>
        <v>598</v>
      </c>
    </row>
    <row r="195" spans="1:14" x14ac:dyDescent="0.25">
      <c r="A195" s="6" t="s">
        <v>490</v>
      </c>
      <c r="B195" s="7">
        <f t="shared" ca="1" si="63"/>
        <v>75</v>
      </c>
      <c r="C195" s="7">
        <v>3</v>
      </c>
      <c r="D195" s="10">
        <v>49.9</v>
      </c>
      <c r="E195" s="10">
        <f>D195*C195</f>
        <v>149.69999999999999</v>
      </c>
      <c r="F195" s="7" t="s">
        <v>1183</v>
      </c>
      <c r="G195" s="6" t="s">
        <v>491</v>
      </c>
      <c r="H195" s="7" t="s">
        <v>1197</v>
      </c>
      <c r="I195" s="8" t="s">
        <v>304</v>
      </c>
      <c r="J195" s="9">
        <v>2840</v>
      </c>
      <c r="K195" s="15">
        <v>598</v>
      </c>
      <c r="L195" s="11">
        <f>E195</f>
        <v>149.69999999999999</v>
      </c>
      <c r="M195" s="31">
        <f>Tabela2[[#This Row],[R$TOTAL FÉRIAS FACIL ]]-Tabela2[[#This Row],[R$ PARCELADO]]</f>
        <v>448.3</v>
      </c>
      <c r="N195" s="6"/>
    </row>
    <row r="196" spans="1:14" x14ac:dyDescent="0.25">
      <c r="A196" s="6" t="s">
        <v>492</v>
      </c>
      <c r="B196" s="7">
        <f t="shared" ca="1" si="63"/>
        <v>74</v>
      </c>
      <c r="C196" s="7"/>
      <c r="D196" s="7"/>
      <c r="E196" s="7"/>
      <c r="F196" s="7" t="s">
        <v>1183</v>
      </c>
      <c r="G196" s="6" t="s">
        <v>493</v>
      </c>
      <c r="H196" s="7" t="s">
        <v>13</v>
      </c>
      <c r="I196" s="8" t="s">
        <v>494</v>
      </c>
      <c r="J196" s="9">
        <v>2244</v>
      </c>
      <c r="K196" s="15">
        <v>598</v>
      </c>
      <c r="L196" s="6"/>
      <c r="M196" s="31"/>
      <c r="N196" s="11">
        <f>K196</f>
        <v>598</v>
      </c>
    </row>
    <row r="197" spans="1:14" x14ac:dyDescent="0.25">
      <c r="A197" s="6" t="s">
        <v>495</v>
      </c>
      <c r="B197" s="7">
        <f t="shared" ca="1" si="63"/>
        <v>70</v>
      </c>
      <c r="C197" s="12">
        <v>2</v>
      </c>
      <c r="D197" s="10">
        <v>49.9</v>
      </c>
      <c r="E197" s="10">
        <f>D197*C197</f>
        <v>99.8</v>
      </c>
      <c r="F197" s="7" t="s">
        <v>1183</v>
      </c>
      <c r="G197" s="6" t="s">
        <v>496</v>
      </c>
      <c r="H197" s="7" t="s">
        <v>1197</v>
      </c>
      <c r="I197" s="8" t="s">
        <v>489</v>
      </c>
      <c r="J197" s="9">
        <v>2840</v>
      </c>
      <c r="K197" s="15">
        <v>598</v>
      </c>
      <c r="L197" s="11">
        <f>E197</f>
        <v>99.8</v>
      </c>
      <c r="M197" s="31">
        <f>Tabela2[[#This Row],[R$TOTAL FÉRIAS FACIL ]]-Tabela2[[#This Row],[R$ PARCELADO]]</f>
        <v>498.2</v>
      </c>
      <c r="N197" s="6"/>
    </row>
    <row r="198" spans="1:14" x14ac:dyDescent="0.25">
      <c r="A198" s="6" t="s">
        <v>497</v>
      </c>
      <c r="B198" s="7">
        <f t="shared" ca="1" si="63"/>
        <v>140</v>
      </c>
      <c r="C198" s="7"/>
      <c r="D198" s="7"/>
      <c r="E198" s="7"/>
      <c r="F198" s="7" t="s">
        <v>1184</v>
      </c>
      <c r="G198" s="6" t="s">
        <v>498</v>
      </c>
      <c r="H198" s="7" t="s">
        <v>13</v>
      </c>
      <c r="I198" s="8" t="s">
        <v>57</v>
      </c>
      <c r="J198" s="9">
        <v>4611.96</v>
      </c>
      <c r="K198" s="16">
        <v>1196</v>
      </c>
      <c r="L198" s="6"/>
      <c r="M198" s="31"/>
      <c r="N198" s="11">
        <f>K198</f>
        <v>1196</v>
      </c>
    </row>
    <row r="199" spans="1:14" x14ac:dyDescent="0.25">
      <c r="A199" s="6" t="s">
        <v>499</v>
      </c>
      <c r="B199" s="7">
        <f t="shared" ca="1" si="63"/>
        <v>178</v>
      </c>
      <c r="C199" s="12">
        <v>6</v>
      </c>
      <c r="D199" s="10">
        <v>99.9</v>
      </c>
      <c r="E199" s="10">
        <f t="shared" ref="E199:E210" si="68">D199*C199</f>
        <v>599.40000000000009</v>
      </c>
      <c r="F199" s="7" t="s">
        <v>1184</v>
      </c>
      <c r="G199" s="6" t="s">
        <v>500</v>
      </c>
      <c r="H199" s="7" t="s">
        <v>1197</v>
      </c>
      <c r="I199" s="8" t="s">
        <v>165</v>
      </c>
      <c r="J199" s="9">
        <v>7581.96</v>
      </c>
      <c r="K199" s="16">
        <v>1196</v>
      </c>
      <c r="L199" s="11">
        <f t="shared" ref="L199:L210" si="69">E199</f>
        <v>599.40000000000009</v>
      </c>
      <c r="M199" s="31">
        <f>Tabela2[[#This Row],[R$TOTAL FÉRIAS FACIL ]]-Tabela2[[#This Row],[R$ PARCELADO]]</f>
        <v>596.59999999999991</v>
      </c>
      <c r="N199" s="6"/>
    </row>
    <row r="200" spans="1:14" x14ac:dyDescent="0.25">
      <c r="A200" s="6" t="s">
        <v>501</v>
      </c>
      <c r="B200" s="7">
        <f t="shared" ca="1" si="63"/>
        <v>178</v>
      </c>
      <c r="C200" s="12">
        <v>6</v>
      </c>
      <c r="D200" s="10">
        <v>99.9</v>
      </c>
      <c r="E200" s="10">
        <f t="shared" si="68"/>
        <v>599.40000000000009</v>
      </c>
      <c r="F200" s="7" t="s">
        <v>1184</v>
      </c>
      <c r="G200" s="6" t="s">
        <v>502</v>
      </c>
      <c r="H200" s="7" t="s">
        <v>1197</v>
      </c>
      <c r="I200" s="8" t="s">
        <v>165</v>
      </c>
      <c r="J200" s="9">
        <v>7581.96</v>
      </c>
      <c r="K200" s="16">
        <v>1196</v>
      </c>
      <c r="L200" s="11">
        <f t="shared" si="69"/>
        <v>599.40000000000009</v>
      </c>
      <c r="M200" s="31">
        <f>Tabela2[[#This Row],[R$TOTAL FÉRIAS FACIL ]]-Tabela2[[#This Row],[R$ PARCELADO]]</f>
        <v>596.59999999999991</v>
      </c>
      <c r="N200" s="6"/>
    </row>
    <row r="201" spans="1:14" x14ac:dyDescent="0.25">
      <c r="A201" s="6" t="s">
        <v>503</v>
      </c>
      <c r="B201" s="7">
        <f t="shared" ca="1" si="63"/>
        <v>178</v>
      </c>
      <c r="C201" s="12">
        <v>6</v>
      </c>
      <c r="D201" s="10">
        <v>99.9</v>
      </c>
      <c r="E201" s="10">
        <f t="shared" si="68"/>
        <v>599.40000000000009</v>
      </c>
      <c r="F201" s="7" t="s">
        <v>1184</v>
      </c>
      <c r="G201" s="6" t="s">
        <v>504</v>
      </c>
      <c r="H201" s="7" t="s">
        <v>1197</v>
      </c>
      <c r="I201" s="8" t="s">
        <v>165</v>
      </c>
      <c r="J201" s="9">
        <v>7581.96</v>
      </c>
      <c r="K201" s="16">
        <v>1196</v>
      </c>
      <c r="L201" s="11">
        <f t="shared" si="69"/>
        <v>599.40000000000009</v>
      </c>
      <c r="M201" s="31">
        <f>Tabela2[[#This Row],[R$TOTAL FÉRIAS FACIL ]]-Tabela2[[#This Row],[R$ PARCELADO]]</f>
        <v>596.59999999999991</v>
      </c>
      <c r="N201" s="6"/>
    </row>
    <row r="202" spans="1:14" x14ac:dyDescent="0.25">
      <c r="A202" s="6" t="s">
        <v>505</v>
      </c>
      <c r="B202" s="7">
        <f t="shared" ca="1" si="63"/>
        <v>164</v>
      </c>
      <c r="C202" s="12">
        <v>5</v>
      </c>
      <c r="D202" s="10">
        <v>99.9</v>
      </c>
      <c r="E202" s="10">
        <f t="shared" si="68"/>
        <v>499.5</v>
      </c>
      <c r="F202" s="7" t="s">
        <v>1184</v>
      </c>
      <c r="G202" s="6" t="s">
        <v>506</v>
      </c>
      <c r="H202" s="7" t="s">
        <v>1197</v>
      </c>
      <c r="I202" s="8" t="s">
        <v>230</v>
      </c>
      <c r="J202" s="9">
        <v>6681.96</v>
      </c>
      <c r="K202" s="16">
        <v>1196</v>
      </c>
      <c r="L202" s="11">
        <f t="shared" si="69"/>
        <v>499.5</v>
      </c>
      <c r="M202" s="31">
        <f>Tabela2[[#This Row],[R$TOTAL FÉRIAS FACIL ]]-Tabela2[[#This Row],[R$ PARCELADO]]</f>
        <v>696.5</v>
      </c>
      <c r="N202" s="6"/>
    </row>
    <row r="203" spans="1:14" x14ac:dyDescent="0.25">
      <c r="A203" s="6" t="s">
        <v>507</v>
      </c>
      <c r="B203" s="7">
        <f t="shared" ca="1" si="63"/>
        <v>149</v>
      </c>
      <c r="C203" s="12">
        <v>5</v>
      </c>
      <c r="D203" s="10">
        <v>99.9</v>
      </c>
      <c r="E203" s="10">
        <f t="shared" si="68"/>
        <v>499.5</v>
      </c>
      <c r="F203" s="7" t="s">
        <v>1184</v>
      </c>
      <c r="G203" s="6" t="s">
        <v>508</v>
      </c>
      <c r="H203" s="7" t="s">
        <v>1197</v>
      </c>
      <c r="I203" s="8" t="s">
        <v>157</v>
      </c>
      <c r="J203" s="9">
        <v>7581.96</v>
      </c>
      <c r="K203" s="16">
        <v>1196</v>
      </c>
      <c r="L203" s="11">
        <f t="shared" si="69"/>
        <v>499.5</v>
      </c>
      <c r="M203" s="31">
        <f>Tabela2[[#This Row],[R$TOTAL FÉRIAS FACIL ]]-Tabela2[[#This Row],[R$ PARCELADO]]</f>
        <v>696.5</v>
      </c>
      <c r="N203" s="6"/>
    </row>
    <row r="204" spans="1:14" x14ac:dyDescent="0.25">
      <c r="A204" s="6" t="s">
        <v>509</v>
      </c>
      <c r="B204" s="7">
        <f t="shared" ca="1" si="63"/>
        <v>165</v>
      </c>
      <c r="C204" s="12">
        <v>6</v>
      </c>
      <c r="D204" s="10">
        <v>99.9</v>
      </c>
      <c r="E204" s="10">
        <f t="shared" si="68"/>
        <v>599.40000000000009</v>
      </c>
      <c r="F204" s="7" t="s">
        <v>1184</v>
      </c>
      <c r="G204" s="6" t="s">
        <v>510</v>
      </c>
      <c r="H204" s="7" t="s">
        <v>1197</v>
      </c>
      <c r="I204" s="8" t="s">
        <v>150</v>
      </c>
      <c r="J204" s="9">
        <v>6681.96</v>
      </c>
      <c r="K204" s="16">
        <v>1196</v>
      </c>
      <c r="L204" s="11">
        <f t="shared" si="69"/>
        <v>599.40000000000009</v>
      </c>
      <c r="M204" s="31">
        <f>Tabela2[[#This Row],[R$TOTAL FÉRIAS FACIL ]]-Tabela2[[#This Row],[R$ PARCELADO]]</f>
        <v>596.59999999999991</v>
      </c>
      <c r="N204" s="6"/>
    </row>
    <row r="205" spans="1:14" x14ac:dyDescent="0.25">
      <c r="A205" s="6" t="s">
        <v>511</v>
      </c>
      <c r="B205" s="7">
        <f t="shared" ca="1" si="63"/>
        <v>165</v>
      </c>
      <c r="C205" s="12">
        <v>6</v>
      </c>
      <c r="D205" s="10">
        <v>99.9</v>
      </c>
      <c r="E205" s="10">
        <f t="shared" si="68"/>
        <v>599.40000000000009</v>
      </c>
      <c r="F205" s="7" t="s">
        <v>1184</v>
      </c>
      <c r="G205" s="6" t="s">
        <v>512</v>
      </c>
      <c r="H205" s="7" t="s">
        <v>1197</v>
      </c>
      <c r="I205" s="8" t="s">
        <v>150</v>
      </c>
      <c r="J205" s="9">
        <v>7581.96</v>
      </c>
      <c r="K205" s="16">
        <v>1196</v>
      </c>
      <c r="L205" s="11">
        <f t="shared" si="69"/>
        <v>599.40000000000009</v>
      </c>
      <c r="M205" s="31">
        <f>Tabela2[[#This Row],[R$TOTAL FÉRIAS FACIL ]]-Tabela2[[#This Row],[R$ PARCELADO]]</f>
        <v>596.59999999999991</v>
      </c>
      <c r="N205" s="6"/>
    </row>
    <row r="206" spans="1:14" x14ac:dyDescent="0.25">
      <c r="A206" s="6" t="s">
        <v>513</v>
      </c>
      <c r="B206" s="7">
        <f t="shared" ca="1" si="63"/>
        <v>178</v>
      </c>
      <c r="C206" s="12">
        <v>6</v>
      </c>
      <c r="D206" s="10">
        <v>99.9</v>
      </c>
      <c r="E206" s="10">
        <f t="shared" si="68"/>
        <v>599.40000000000009</v>
      </c>
      <c r="F206" s="7" t="s">
        <v>1184</v>
      </c>
      <c r="G206" s="6" t="s">
        <v>514</v>
      </c>
      <c r="H206" s="7" t="s">
        <v>1197</v>
      </c>
      <c r="I206" s="8" t="s">
        <v>165</v>
      </c>
      <c r="J206" s="9">
        <v>6681.96</v>
      </c>
      <c r="K206" s="16">
        <v>1196</v>
      </c>
      <c r="L206" s="11">
        <f t="shared" si="69"/>
        <v>599.40000000000009</v>
      </c>
      <c r="M206" s="31">
        <f>Tabela2[[#This Row],[R$TOTAL FÉRIAS FACIL ]]-Tabela2[[#This Row],[R$ PARCELADO]]</f>
        <v>596.59999999999991</v>
      </c>
      <c r="N206" s="6"/>
    </row>
    <row r="207" spans="1:14" x14ac:dyDescent="0.25">
      <c r="A207" s="6" t="s">
        <v>515</v>
      </c>
      <c r="B207" s="7">
        <f t="shared" ca="1" si="63"/>
        <v>174</v>
      </c>
      <c r="C207" s="12">
        <v>6</v>
      </c>
      <c r="D207" s="10">
        <v>99.9</v>
      </c>
      <c r="E207" s="10">
        <f t="shared" si="68"/>
        <v>599.40000000000009</v>
      </c>
      <c r="F207" s="7" t="s">
        <v>1184</v>
      </c>
      <c r="G207" s="6" t="s">
        <v>516</v>
      </c>
      <c r="H207" s="7" t="s">
        <v>1197</v>
      </c>
      <c r="I207" s="8" t="s">
        <v>155</v>
      </c>
      <c r="J207" s="9">
        <v>7581.96</v>
      </c>
      <c r="K207" s="16">
        <v>1196</v>
      </c>
      <c r="L207" s="11">
        <f t="shared" si="69"/>
        <v>599.40000000000009</v>
      </c>
      <c r="M207" s="31">
        <f>Tabela2[[#This Row],[R$TOTAL FÉRIAS FACIL ]]-Tabela2[[#This Row],[R$ PARCELADO]]</f>
        <v>596.59999999999991</v>
      </c>
      <c r="N207" s="6"/>
    </row>
    <row r="208" spans="1:14" x14ac:dyDescent="0.25">
      <c r="A208" s="6" t="s">
        <v>517</v>
      </c>
      <c r="B208" s="7">
        <f t="shared" ca="1" si="63"/>
        <v>174</v>
      </c>
      <c r="C208" s="12">
        <v>6</v>
      </c>
      <c r="D208" s="10">
        <v>99.9</v>
      </c>
      <c r="E208" s="10">
        <f t="shared" si="68"/>
        <v>599.40000000000009</v>
      </c>
      <c r="F208" s="7" t="s">
        <v>1184</v>
      </c>
      <c r="G208" s="6" t="s">
        <v>518</v>
      </c>
      <c r="H208" s="7" t="s">
        <v>1197</v>
      </c>
      <c r="I208" s="8" t="s">
        <v>155</v>
      </c>
      <c r="J208" s="9">
        <v>7581.96</v>
      </c>
      <c r="K208" s="16">
        <v>1196</v>
      </c>
      <c r="L208" s="11">
        <f t="shared" si="69"/>
        <v>599.40000000000009</v>
      </c>
      <c r="M208" s="31">
        <f>Tabela2[[#This Row],[R$TOTAL FÉRIAS FACIL ]]-Tabela2[[#This Row],[R$ PARCELADO]]</f>
        <v>596.59999999999991</v>
      </c>
      <c r="N208" s="6"/>
    </row>
    <row r="209" spans="1:14" x14ac:dyDescent="0.25">
      <c r="A209" s="6" t="s">
        <v>519</v>
      </c>
      <c r="B209" s="7">
        <f t="shared" ca="1" si="63"/>
        <v>150</v>
      </c>
      <c r="C209" s="12">
        <v>5</v>
      </c>
      <c r="D209" s="10">
        <v>99.9</v>
      </c>
      <c r="E209" s="10">
        <f t="shared" si="68"/>
        <v>499.5</v>
      </c>
      <c r="F209" s="7" t="s">
        <v>1184</v>
      </c>
      <c r="G209" s="6" t="s">
        <v>520</v>
      </c>
      <c r="H209" s="7" t="s">
        <v>1197</v>
      </c>
      <c r="I209" s="8" t="s">
        <v>183</v>
      </c>
      <c r="J209" s="9">
        <v>6681.96</v>
      </c>
      <c r="K209" s="16">
        <v>1196</v>
      </c>
      <c r="L209" s="11">
        <f t="shared" si="69"/>
        <v>499.5</v>
      </c>
      <c r="M209" s="31">
        <f>Tabela2[[#This Row],[R$TOTAL FÉRIAS FACIL ]]-Tabela2[[#This Row],[R$ PARCELADO]]</f>
        <v>696.5</v>
      </c>
      <c r="N209" s="6"/>
    </row>
    <row r="210" spans="1:14" x14ac:dyDescent="0.25">
      <c r="A210" s="6" t="s">
        <v>521</v>
      </c>
      <c r="B210" s="7">
        <f t="shared" ca="1" si="63"/>
        <v>178</v>
      </c>
      <c r="C210" s="12">
        <v>6</v>
      </c>
      <c r="D210" s="10">
        <v>99.9</v>
      </c>
      <c r="E210" s="10">
        <f t="shared" si="68"/>
        <v>599.40000000000009</v>
      </c>
      <c r="F210" s="7" t="s">
        <v>1184</v>
      </c>
      <c r="G210" s="6" t="s">
        <v>522</v>
      </c>
      <c r="H210" s="7" t="s">
        <v>1197</v>
      </c>
      <c r="I210" s="8" t="s">
        <v>165</v>
      </c>
      <c r="J210" s="9">
        <v>6681.96</v>
      </c>
      <c r="K210" s="16">
        <v>1196</v>
      </c>
      <c r="L210" s="11">
        <f t="shared" si="69"/>
        <v>599.40000000000009</v>
      </c>
      <c r="M210" s="31">
        <f>Tabela2[[#This Row],[R$TOTAL FÉRIAS FACIL ]]-Tabela2[[#This Row],[R$ PARCELADO]]</f>
        <v>596.59999999999991</v>
      </c>
      <c r="N210" s="6"/>
    </row>
    <row r="211" spans="1:14" x14ac:dyDescent="0.25">
      <c r="A211" s="6" t="s">
        <v>523</v>
      </c>
      <c r="B211" s="7">
        <f t="shared" ca="1" si="63"/>
        <v>160</v>
      </c>
      <c r="C211" s="7"/>
      <c r="D211" s="7"/>
      <c r="E211" s="7"/>
      <c r="F211" s="7" t="s">
        <v>1184</v>
      </c>
      <c r="G211" s="6" t="s">
        <v>524</v>
      </c>
      <c r="H211" s="7" t="s">
        <v>13</v>
      </c>
      <c r="I211" s="8" t="s">
        <v>36</v>
      </c>
      <c r="J211" s="9">
        <v>4611.96</v>
      </c>
      <c r="K211" s="16">
        <v>1196</v>
      </c>
      <c r="L211" s="6"/>
      <c r="M211" s="31"/>
      <c r="N211" s="11">
        <f t="shared" ref="N211:N212" si="70">K211</f>
        <v>1196</v>
      </c>
    </row>
    <row r="212" spans="1:14" x14ac:dyDescent="0.25">
      <c r="A212" s="6" t="s">
        <v>525</v>
      </c>
      <c r="B212" s="7">
        <f t="shared" ca="1" si="63"/>
        <v>156</v>
      </c>
      <c r="C212" s="7"/>
      <c r="D212" s="7"/>
      <c r="E212" s="7"/>
      <c r="F212" s="7" t="s">
        <v>1184</v>
      </c>
      <c r="G212" s="6" t="s">
        <v>526</v>
      </c>
      <c r="H212" s="7" t="s">
        <v>13</v>
      </c>
      <c r="I212" s="8" t="s">
        <v>41</v>
      </c>
      <c r="J212" s="9">
        <v>4188</v>
      </c>
      <c r="K212" s="16">
        <v>1196</v>
      </c>
      <c r="L212" s="6"/>
      <c r="M212" s="31"/>
      <c r="N212" s="11">
        <f t="shared" si="70"/>
        <v>1196</v>
      </c>
    </row>
    <row r="213" spans="1:14" x14ac:dyDescent="0.25">
      <c r="A213" s="6" t="s">
        <v>527</v>
      </c>
      <c r="B213" s="7">
        <f t="shared" ca="1" si="63"/>
        <v>170</v>
      </c>
      <c r="C213" s="12">
        <v>6</v>
      </c>
      <c r="D213" s="10">
        <v>99.9</v>
      </c>
      <c r="E213" s="10">
        <f t="shared" ref="E213:E214" si="71">D213*C213</f>
        <v>599.40000000000009</v>
      </c>
      <c r="F213" s="7" t="s">
        <v>1184</v>
      </c>
      <c r="G213" s="6" t="s">
        <v>528</v>
      </c>
      <c r="H213" s="7" t="s">
        <v>1197</v>
      </c>
      <c r="I213" s="8" t="s">
        <v>162</v>
      </c>
      <c r="J213" s="9">
        <v>6681.96</v>
      </c>
      <c r="K213" s="16">
        <v>1196</v>
      </c>
      <c r="L213" s="11">
        <f t="shared" ref="L213:L214" si="72">E213</f>
        <v>599.40000000000009</v>
      </c>
      <c r="M213" s="31">
        <f>Tabela2[[#This Row],[R$TOTAL FÉRIAS FACIL ]]-Tabela2[[#This Row],[R$ PARCELADO]]</f>
        <v>596.59999999999991</v>
      </c>
      <c r="N213" s="6"/>
    </row>
    <row r="214" spans="1:14" x14ac:dyDescent="0.25">
      <c r="A214" s="6" t="s">
        <v>529</v>
      </c>
      <c r="B214" s="7">
        <f t="shared" ca="1" si="63"/>
        <v>170</v>
      </c>
      <c r="C214" s="12">
        <v>6</v>
      </c>
      <c r="D214" s="10">
        <v>99.9</v>
      </c>
      <c r="E214" s="10">
        <f t="shared" si="71"/>
        <v>599.40000000000009</v>
      </c>
      <c r="F214" s="7" t="s">
        <v>1184</v>
      </c>
      <c r="G214" s="6" t="s">
        <v>530</v>
      </c>
      <c r="H214" s="7" t="s">
        <v>1197</v>
      </c>
      <c r="I214" s="8" t="s">
        <v>162</v>
      </c>
      <c r="J214" s="9">
        <v>7581.96</v>
      </c>
      <c r="K214" s="16">
        <v>1196</v>
      </c>
      <c r="L214" s="11">
        <f t="shared" si="72"/>
        <v>599.40000000000009</v>
      </c>
      <c r="M214" s="31">
        <f>Tabela2[[#This Row],[R$TOTAL FÉRIAS FACIL ]]-Tabela2[[#This Row],[R$ PARCELADO]]</f>
        <v>596.59999999999991</v>
      </c>
      <c r="N214" s="6"/>
    </row>
    <row r="215" spans="1:14" x14ac:dyDescent="0.25">
      <c r="A215" s="6" t="s">
        <v>531</v>
      </c>
      <c r="B215" s="7">
        <f t="shared" ca="1" si="63"/>
        <v>170</v>
      </c>
      <c r="C215" s="7"/>
      <c r="D215" s="7"/>
      <c r="E215" s="7"/>
      <c r="F215" s="7" t="s">
        <v>1184</v>
      </c>
      <c r="G215" s="6" t="s">
        <v>532</v>
      </c>
      <c r="H215" s="7" t="s">
        <v>13</v>
      </c>
      <c r="I215" s="8" t="s">
        <v>162</v>
      </c>
      <c r="J215" s="9">
        <v>4611.96</v>
      </c>
      <c r="K215" s="16">
        <v>1196</v>
      </c>
      <c r="L215" s="6"/>
      <c r="M215" s="31"/>
      <c r="N215" s="11">
        <f>K215</f>
        <v>1196</v>
      </c>
    </row>
    <row r="216" spans="1:14" x14ac:dyDescent="0.25">
      <c r="A216" s="6" t="s">
        <v>533</v>
      </c>
      <c r="B216" s="7">
        <f t="shared" ca="1" si="63"/>
        <v>172</v>
      </c>
      <c r="C216" s="12">
        <v>6</v>
      </c>
      <c r="D216" s="10">
        <v>99.9</v>
      </c>
      <c r="E216" s="10">
        <f t="shared" ref="E216:E222" si="73">D216*C216</f>
        <v>599.40000000000009</v>
      </c>
      <c r="F216" s="7" t="s">
        <v>1184</v>
      </c>
      <c r="G216" s="6" t="s">
        <v>534</v>
      </c>
      <c r="H216" s="7" t="s">
        <v>1197</v>
      </c>
      <c r="I216" s="8" t="s">
        <v>212</v>
      </c>
      <c r="J216" s="9">
        <v>7581.96</v>
      </c>
      <c r="K216" s="16">
        <v>1196</v>
      </c>
      <c r="L216" s="11">
        <f t="shared" ref="L216:L222" si="74">E216</f>
        <v>599.40000000000009</v>
      </c>
      <c r="M216" s="31">
        <f>Tabela2[[#This Row],[R$TOTAL FÉRIAS FACIL ]]-Tabela2[[#This Row],[R$ PARCELADO]]</f>
        <v>596.59999999999991</v>
      </c>
      <c r="N216" s="6"/>
    </row>
    <row r="217" spans="1:14" x14ac:dyDescent="0.25">
      <c r="A217" s="6" t="s">
        <v>535</v>
      </c>
      <c r="B217" s="7">
        <f t="shared" ca="1" si="63"/>
        <v>149</v>
      </c>
      <c r="C217" s="12">
        <v>5</v>
      </c>
      <c r="D217" s="10">
        <v>99.9</v>
      </c>
      <c r="E217" s="10">
        <f t="shared" si="73"/>
        <v>499.5</v>
      </c>
      <c r="F217" s="7" t="s">
        <v>1184</v>
      </c>
      <c r="G217" s="6" t="s">
        <v>536</v>
      </c>
      <c r="H217" s="7" t="s">
        <v>1197</v>
      </c>
      <c r="I217" s="8" t="s">
        <v>157</v>
      </c>
      <c r="J217" s="9">
        <v>6681.96</v>
      </c>
      <c r="K217" s="16">
        <v>1196</v>
      </c>
      <c r="L217" s="11">
        <f t="shared" si="74"/>
        <v>499.5</v>
      </c>
      <c r="M217" s="31">
        <f>Tabela2[[#This Row],[R$TOTAL FÉRIAS FACIL ]]-Tabela2[[#This Row],[R$ PARCELADO]]</f>
        <v>696.5</v>
      </c>
      <c r="N217" s="6"/>
    </row>
    <row r="218" spans="1:14" x14ac:dyDescent="0.25">
      <c r="A218" s="6" t="s">
        <v>537</v>
      </c>
      <c r="B218" s="7">
        <f t="shared" ca="1" si="63"/>
        <v>149</v>
      </c>
      <c r="C218" s="12">
        <v>5</v>
      </c>
      <c r="D218" s="10">
        <v>99.9</v>
      </c>
      <c r="E218" s="10">
        <f t="shared" si="73"/>
        <v>499.5</v>
      </c>
      <c r="F218" s="7" t="s">
        <v>1184</v>
      </c>
      <c r="G218" s="6" t="s">
        <v>538</v>
      </c>
      <c r="H218" s="7" t="s">
        <v>1197</v>
      </c>
      <c r="I218" s="8" t="s">
        <v>157</v>
      </c>
      <c r="J218" s="9">
        <v>7581.96</v>
      </c>
      <c r="K218" s="16">
        <v>1196</v>
      </c>
      <c r="L218" s="11">
        <f t="shared" si="74"/>
        <v>499.5</v>
      </c>
      <c r="M218" s="31">
        <f>Tabela2[[#This Row],[R$TOTAL FÉRIAS FACIL ]]-Tabela2[[#This Row],[R$ PARCELADO]]</f>
        <v>696.5</v>
      </c>
      <c r="N218" s="6"/>
    </row>
    <row r="219" spans="1:14" x14ac:dyDescent="0.25">
      <c r="A219" s="6" t="s">
        <v>539</v>
      </c>
      <c r="B219" s="7">
        <f t="shared" ca="1" si="63"/>
        <v>170</v>
      </c>
      <c r="C219" s="12">
        <v>6</v>
      </c>
      <c r="D219" s="10">
        <v>99.9</v>
      </c>
      <c r="E219" s="10">
        <f t="shared" si="73"/>
        <v>599.40000000000009</v>
      </c>
      <c r="F219" s="7" t="s">
        <v>1184</v>
      </c>
      <c r="G219" s="6" t="s">
        <v>540</v>
      </c>
      <c r="H219" s="7" t="s">
        <v>1197</v>
      </c>
      <c r="I219" s="8" t="s">
        <v>162</v>
      </c>
      <c r="J219" s="9">
        <v>6681.96</v>
      </c>
      <c r="K219" s="16">
        <v>1196</v>
      </c>
      <c r="L219" s="11">
        <f t="shared" si="74"/>
        <v>599.40000000000009</v>
      </c>
      <c r="M219" s="31">
        <f>Tabela2[[#This Row],[R$TOTAL FÉRIAS FACIL ]]-Tabela2[[#This Row],[R$ PARCELADO]]</f>
        <v>596.59999999999991</v>
      </c>
      <c r="N219" s="6"/>
    </row>
    <row r="220" spans="1:14" x14ac:dyDescent="0.25">
      <c r="A220" s="6" t="s">
        <v>541</v>
      </c>
      <c r="B220" s="7">
        <f t="shared" ref="B220:B239" ca="1" si="75">$I$1-I220</f>
        <v>149</v>
      </c>
      <c r="C220" s="12">
        <v>5</v>
      </c>
      <c r="D220" s="10">
        <v>99.9</v>
      </c>
      <c r="E220" s="10">
        <f t="shared" si="73"/>
        <v>499.5</v>
      </c>
      <c r="F220" s="7" t="s">
        <v>1184</v>
      </c>
      <c r="G220" s="6" t="s">
        <v>542</v>
      </c>
      <c r="H220" s="7" t="s">
        <v>1197</v>
      </c>
      <c r="I220" s="8" t="s">
        <v>157</v>
      </c>
      <c r="J220" s="9">
        <v>7881.96</v>
      </c>
      <c r="K220" s="16">
        <v>1196</v>
      </c>
      <c r="L220" s="11">
        <f t="shared" si="74"/>
        <v>499.5</v>
      </c>
      <c r="M220" s="31">
        <f>Tabela2[[#This Row],[R$TOTAL FÉRIAS FACIL ]]-Tabela2[[#This Row],[R$ PARCELADO]]</f>
        <v>696.5</v>
      </c>
      <c r="N220" s="6"/>
    </row>
    <row r="221" spans="1:14" x14ac:dyDescent="0.25">
      <c r="A221" s="6" t="s">
        <v>543</v>
      </c>
      <c r="B221" s="7">
        <f t="shared" ca="1" si="75"/>
        <v>178</v>
      </c>
      <c r="C221" s="12">
        <v>6</v>
      </c>
      <c r="D221" s="10">
        <v>99.9</v>
      </c>
      <c r="E221" s="10">
        <f t="shared" si="73"/>
        <v>599.40000000000009</v>
      </c>
      <c r="F221" s="7" t="s">
        <v>1184</v>
      </c>
      <c r="G221" s="6" t="s">
        <v>544</v>
      </c>
      <c r="H221" s="7" t="s">
        <v>1197</v>
      </c>
      <c r="I221" s="8" t="s">
        <v>165</v>
      </c>
      <c r="J221" s="9">
        <v>6681.96</v>
      </c>
      <c r="K221" s="16">
        <v>1196</v>
      </c>
      <c r="L221" s="11">
        <f t="shared" si="74"/>
        <v>599.40000000000009</v>
      </c>
      <c r="M221" s="31">
        <f>Tabela2[[#This Row],[R$TOTAL FÉRIAS FACIL ]]-Tabela2[[#This Row],[R$ PARCELADO]]</f>
        <v>596.59999999999991</v>
      </c>
      <c r="N221" s="6"/>
    </row>
    <row r="222" spans="1:14" x14ac:dyDescent="0.25">
      <c r="A222" s="6" t="s">
        <v>545</v>
      </c>
      <c r="B222" s="7">
        <f t="shared" ca="1" si="75"/>
        <v>124</v>
      </c>
      <c r="C222" s="12">
        <v>4</v>
      </c>
      <c r="D222" s="10">
        <v>99.9</v>
      </c>
      <c r="E222" s="10">
        <f t="shared" si="73"/>
        <v>399.6</v>
      </c>
      <c r="F222" s="7" t="s">
        <v>1184</v>
      </c>
      <c r="G222" s="6" t="s">
        <v>546</v>
      </c>
      <c r="H222" s="7" t="s">
        <v>1197</v>
      </c>
      <c r="I222" s="8" t="s">
        <v>78</v>
      </c>
      <c r="J222" s="9">
        <v>7581.96</v>
      </c>
      <c r="K222" s="16">
        <v>1196</v>
      </c>
      <c r="L222" s="11">
        <f t="shared" si="74"/>
        <v>399.6</v>
      </c>
      <c r="M222" s="31">
        <f>Tabela2[[#This Row],[R$TOTAL FÉRIAS FACIL ]]-Tabela2[[#This Row],[R$ PARCELADO]]</f>
        <v>796.4</v>
      </c>
      <c r="N222" s="6"/>
    </row>
    <row r="223" spans="1:14" x14ac:dyDescent="0.25">
      <c r="A223" s="6" t="s">
        <v>547</v>
      </c>
      <c r="B223" s="7">
        <f t="shared" ca="1" si="75"/>
        <v>170</v>
      </c>
      <c r="C223" s="7"/>
      <c r="D223" s="7"/>
      <c r="E223" s="7"/>
      <c r="F223" s="7" t="s">
        <v>1184</v>
      </c>
      <c r="G223" s="6" t="s">
        <v>548</v>
      </c>
      <c r="H223" s="7" t="s">
        <v>13</v>
      </c>
      <c r="I223" s="8" t="s">
        <v>162</v>
      </c>
      <c r="J223" s="9">
        <v>7788</v>
      </c>
      <c r="K223" s="16">
        <v>1196</v>
      </c>
      <c r="L223" s="6"/>
      <c r="M223" s="31"/>
      <c r="N223" s="11">
        <f t="shared" ref="N223:N224" si="76">K223</f>
        <v>1196</v>
      </c>
    </row>
    <row r="224" spans="1:14" x14ac:dyDescent="0.25">
      <c r="A224" s="6" t="s">
        <v>549</v>
      </c>
      <c r="B224" s="7">
        <f t="shared" ca="1" si="75"/>
        <v>164</v>
      </c>
      <c r="C224" s="7"/>
      <c r="D224" s="7"/>
      <c r="E224" s="7"/>
      <c r="F224" s="7" t="s">
        <v>1184</v>
      </c>
      <c r="G224" s="6" t="s">
        <v>550</v>
      </c>
      <c r="H224" s="7" t="s">
        <v>13</v>
      </c>
      <c r="I224" s="8" t="s">
        <v>230</v>
      </c>
      <c r="J224" s="9">
        <v>4188</v>
      </c>
      <c r="K224" s="16">
        <v>1196</v>
      </c>
      <c r="L224" s="6"/>
      <c r="M224" s="31"/>
      <c r="N224" s="11">
        <f t="shared" si="76"/>
        <v>1196</v>
      </c>
    </row>
    <row r="225" spans="1:14" x14ac:dyDescent="0.25">
      <c r="A225" s="6" t="s">
        <v>551</v>
      </c>
      <c r="B225" s="7">
        <f t="shared" ca="1" si="75"/>
        <v>164</v>
      </c>
      <c r="C225" s="12">
        <v>5</v>
      </c>
      <c r="D225" s="10">
        <v>99.9</v>
      </c>
      <c r="E225" s="10">
        <f>D225*C225</f>
        <v>499.5</v>
      </c>
      <c r="F225" s="7" t="s">
        <v>1184</v>
      </c>
      <c r="G225" s="6" t="s">
        <v>552</v>
      </c>
      <c r="H225" s="7" t="s">
        <v>1197</v>
      </c>
      <c r="I225" s="8" t="s">
        <v>230</v>
      </c>
      <c r="J225" s="9">
        <v>11481.9</v>
      </c>
      <c r="K225" s="16">
        <v>1196</v>
      </c>
      <c r="L225" s="11">
        <f>E225</f>
        <v>499.5</v>
      </c>
      <c r="M225" s="31">
        <f>Tabela2[[#This Row],[R$TOTAL FÉRIAS FACIL ]]-Tabela2[[#This Row],[R$ PARCELADO]]</f>
        <v>696.5</v>
      </c>
      <c r="N225" s="6"/>
    </row>
    <row r="226" spans="1:14" x14ac:dyDescent="0.25">
      <c r="A226" s="6" t="s">
        <v>553</v>
      </c>
      <c r="B226" s="7">
        <f t="shared" ca="1" si="75"/>
        <v>170</v>
      </c>
      <c r="C226" s="7"/>
      <c r="D226" s="7"/>
      <c r="E226" s="7"/>
      <c r="F226" s="7" t="s">
        <v>1184</v>
      </c>
      <c r="G226" s="6" t="s">
        <v>554</v>
      </c>
      <c r="H226" s="7" t="s">
        <v>13</v>
      </c>
      <c r="I226" s="8" t="s">
        <v>162</v>
      </c>
      <c r="J226" s="9">
        <v>4611.96</v>
      </c>
      <c r="K226" s="16">
        <v>1196</v>
      </c>
      <c r="L226" s="6"/>
      <c r="M226" s="31"/>
      <c r="N226" s="11">
        <f t="shared" ref="N226:N230" si="77">K226</f>
        <v>1196</v>
      </c>
    </row>
    <row r="227" spans="1:14" x14ac:dyDescent="0.25">
      <c r="A227" s="6" t="s">
        <v>555</v>
      </c>
      <c r="B227" s="7">
        <f t="shared" ca="1" si="75"/>
        <v>164</v>
      </c>
      <c r="C227" s="7"/>
      <c r="D227" s="7"/>
      <c r="E227" s="7"/>
      <c r="F227" s="7" t="s">
        <v>1184</v>
      </c>
      <c r="G227" s="6" t="s">
        <v>556</v>
      </c>
      <c r="H227" s="7" t="s">
        <v>13</v>
      </c>
      <c r="I227" s="8" t="s">
        <v>230</v>
      </c>
      <c r="J227" s="9">
        <v>4611.96</v>
      </c>
      <c r="K227" s="16">
        <v>1196</v>
      </c>
      <c r="L227" s="6"/>
      <c r="M227" s="31"/>
      <c r="N227" s="11">
        <f t="shared" si="77"/>
        <v>1196</v>
      </c>
    </row>
    <row r="228" spans="1:14" x14ac:dyDescent="0.25">
      <c r="A228" s="6" t="s">
        <v>557</v>
      </c>
      <c r="B228" s="7">
        <f t="shared" ca="1" si="75"/>
        <v>172</v>
      </c>
      <c r="C228" s="7"/>
      <c r="D228" s="7"/>
      <c r="E228" s="7"/>
      <c r="F228" s="7" t="s">
        <v>1184</v>
      </c>
      <c r="G228" s="6" t="s">
        <v>558</v>
      </c>
      <c r="H228" s="7" t="s">
        <v>13</v>
      </c>
      <c r="I228" s="8" t="s">
        <v>212</v>
      </c>
      <c r="J228" s="9">
        <v>5811.96</v>
      </c>
      <c r="K228" s="16">
        <v>1196</v>
      </c>
      <c r="L228" s="6"/>
      <c r="M228" s="31"/>
      <c r="N228" s="11">
        <f t="shared" si="77"/>
        <v>1196</v>
      </c>
    </row>
    <row r="229" spans="1:14" x14ac:dyDescent="0.25">
      <c r="A229" s="6" t="s">
        <v>559</v>
      </c>
      <c r="B229" s="7">
        <f t="shared" ca="1" si="75"/>
        <v>167</v>
      </c>
      <c r="C229" s="7"/>
      <c r="D229" s="7"/>
      <c r="E229" s="7"/>
      <c r="F229" s="7" t="s">
        <v>1184</v>
      </c>
      <c r="G229" s="6" t="s">
        <v>560</v>
      </c>
      <c r="H229" s="7" t="s">
        <v>13</v>
      </c>
      <c r="I229" s="8" t="s">
        <v>201</v>
      </c>
      <c r="J229" s="9">
        <v>4188</v>
      </c>
      <c r="K229" s="16">
        <v>1196</v>
      </c>
      <c r="L229" s="6"/>
      <c r="M229" s="31"/>
      <c r="N229" s="11">
        <f t="shared" si="77"/>
        <v>1196</v>
      </c>
    </row>
    <row r="230" spans="1:14" x14ac:dyDescent="0.25">
      <c r="A230" s="6" t="s">
        <v>561</v>
      </c>
      <c r="B230" s="7">
        <f t="shared" ca="1" si="75"/>
        <v>173</v>
      </c>
      <c r="C230" s="7"/>
      <c r="D230" s="7"/>
      <c r="E230" s="7"/>
      <c r="F230" s="7" t="s">
        <v>1184</v>
      </c>
      <c r="G230" s="6" t="s">
        <v>562</v>
      </c>
      <c r="H230" s="7" t="s">
        <v>13</v>
      </c>
      <c r="I230" s="8" t="s">
        <v>175</v>
      </c>
      <c r="J230" s="9">
        <v>4611.96</v>
      </c>
      <c r="K230" s="16">
        <v>1196</v>
      </c>
      <c r="L230" s="6"/>
      <c r="M230" s="31"/>
      <c r="N230" s="11">
        <f t="shared" si="77"/>
        <v>1196</v>
      </c>
    </row>
    <row r="231" spans="1:14" x14ac:dyDescent="0.25">
      <c r="A231" s="6" t="s">
        <v>563</v>
      </c>
      <c r="B231" s="7">
        <f t="shared" ca="1" si="75"/>
        <v>163</v>
      </c>
      <c r="C231" s="12">
        <v>5</v>
      </c>
      <c r="D231" s="10">
        <v>99.9</v>
      </c>
      <c r="E231" s="10">
        <f t="shared" ref="E231:E234" si="78">D231*C231</f>
        <v>499.5</v>
      </c>
      <c r="F231" s="7" t="s">
        <v>1184</v>
      </c>
      <c r="G231" s="6" t="s">
        <v>564</v>
      </c>
      <c r="H231" s="7" t="s">
        <v>1197</v>
      </c>
      <c r="I231" s="8" t="s">
        <v>149</v>
      </c>
      <c r="J231" s="9">
        <v>6681.96</v>
      </c>
      <c r="K231" s="16">
        <v>1196</v>
      </c>
      <c r="L231" s="11">
        <f t="shared" ref="L231:L234" si="79">E231</f>
        <v>499.5</v>
      </c>
      <c r="M231" s="31">
        <f>Tabela2[[#This Row],[R$TOTAL FÉRIAS FACIL ]]-Tabela2[[#This Row],[R$ PARCELADO]]</f>
        <v>696.5</v>
      </c>
      <c r="N231" s="6"/>
    </row>
    <row r="232" spans="1:14" x14ac:dyDescent="0.25">
      <c r="A232" s="6" t="s">
        <v>565</v>
      </c>
      <c r="B232" s="7">
        <f t="shared" ca="1" si="75"/>
        <v>161</v>
      </c>
      <c r="C232" s="12">
        <v>5</v>
      </c>
      <c r="D232" s="10">
        <v>99.9</v>
      </c>
      <c r="E232" s="10">
        <f t="shared" si="78"/>
        <v>499.5</v>
      </c>
      <c r="F232" s="7" t="s">
        <v>1184</v>
      </c>
      <c r="G232" s="6" t="s">
        <v>566</v>
      </c>
      <c r="H232" s="7" t="s">
        <v>1197</v>
      </c>
      <c r="I232" s="8" t="s">
        <v>194</v>
      </c>
      <c r="J232" s="9">
        <v>6681.96</v>
      </c>
      <c r="K232" s="16">
        <v>1196</v>
      </c>
      <c r="L232" s="11">
        <f t="shared" si="79"/>
        <v>499.5</v>
      </c>
      <c r="M232" s="31">
        <f>Tabela2[[#This Row],[R$TOTAL FÉRIAS FACIL ]]-Tabela2[[#This Row],[R$ PARCELADO]]</f>
        <v>696.5</v>
      </c>
      <c r="N232" s="6"/>
    </row>
    <row r="233" spans="1:14" x14ac:dyDescent="0.25">
      <c r="A233" s="6" t="s">
        <v>567</v>
      </c>
      <c r="B233" s="7">
        <f t="shared" ca="1" si="75"/>
        <v>178</v>
      </c>
      <c r="C233" s="12">
        <v>6</v>
      </c>
      <c r="D233" s="10">
        <v>99.9</v>
      </c>
      <c r="E233" s="10">
        <f t="shared" si="78"/>
        <v>599.40000000000009</v>
      </c>
      <c r="F233" s="7" t="s">
        <v>1184</v>
      </c>
      <c r="G233" s="6" t="s">
        <v>568</v>
      </c>
      <c r="H233" s="7" t="s">
        <v>1197</v>
      </c>
      <c r="I233" s="8" t="s">
        <v>165</v>
      </c>
      <c r="J233" s="9">
        <v>6681.96</v>
      </c>
      <c r="K233" s="16">
        <v>1196</v>
      </c>
      <c r="L233" s="11">
        <f t="shared" si="79"/>
        <v>599.40000000000009</v>
      </c>
      <c r="M233" s="31">
        <f>Tabela2[[#This Row],[R$TOTAL FÉRIAS FACIL ]]-Tabela2[[#This Row],[R$ PARCELADO]]</f>
        <v>596.59999999999991</v>
      </c>
      <c r="N233" s="6"/>
    </row>
    <row r="234" spans="1:14" x14ac:dyDescent="0.25">
      <c r="A234" s="6" t="s">
        <v>569</v>
      </c>
      <c r="B234" s="7">
        <f t="shared" ca="1" si="75"/>
        <v>159</v>
      </c>
      <c r="C234" s="12">
        <v>5</v>
      </c>
      <c r="D234" s="10">
        <v>99.9</v>
      </c>
      <c r="E234" s="10">
        <f t="shared" si="78"/>
        <v>499.5</v>
      </c>
      <c r="F234" s="7" t="s">
        <v>1184</v>
      </c>
      <c r="G234" s="6" t="s">
        <v>570</v>
      </c>
      <c r="H234" s="7" t="s">
        <v>1197</v>
      </c>
      <c r="I234" s="8" t="s">
        <v>229</v>
      </c>
      <c r="J234" s="9">
        <v>6681.96</v>
      </c>
      <c r="K234" s="16">
        <v>1196</v>
      </c>
      <c r="L234" s="11">
        <f t="shared" si="79"/>
        <v>499.5</v>
      </c>
      <c r="M234" s="31">
        <f>Tabela2[[#This Row],[R$TOTAL FÉRIAS FACIL ]]-Tabela2[[#This Row],[R$ PARCELADO]]</f>
        <v>696.5</v>
      </c>
      <c r="N234" s="6"/>
    </row>
    <row r="235" spans="1:14" x14ac:dyDescent="0.25">
      <c r="A235" s="6" t="s">
        <v>571</v>
      </c>
      <c r="B235" s="7">
        <f t="shared" ca="1" si="75"/>
        <v>168</v>
      </c>
      <c r="C235" s="7"/>
      <c r="D235" s="7"/>
      <c r="E235" s="7"/>
      <c r="F235" s="7" t="s">
        <v>1184</v>
      </c>
      <c r="G235" s="6" t="s">
        <v>572</v>
      </c>
      <c r="H235" s="7" t="s">
        <v>13</v>
      </c>
      <c r="I235" s="8" t="s">
        <v>29</v>
      </c>
      <c r="J235" s="9">
        <v>4611.96</v>
      </c>
      <c r="K235" s="16">
        <v>1196</v>
      </c>
      <c r="L235" s="6"/>
      <c r="M235" s="31"/>
      <c r="N235" s="11">
        <f t="shared" ref="N235:N236" si="80">K235</f>
        <v>1196</v>
      </c>
    </row>
    <row r="236" spans="1:14" x14ac:dyDescent="0.25">
      <c r="A236" s="6" t="s">
        <v>573</v>
      </c>
      <c r="B236" s="7">
        <f t="shared" ca="1" si="75"/>
        <v>178</v>
      </c>
      <c r="C236" s="7"/>
      <c r="D236" s="7"/>
      <c r="E236" s="7"/>
      <c r="F236" s="7" t="s">
        <v>1184</v>
      </c>
      <c r="G236" s="6" t="s">
        <v>574</v>
      </c>
      <c r="H236" s="7" t="s">
        <v>13</v>
      </c>
      <c r="I236" s="8" t="s">
        <v>165</v>
      </c>
      <c r="J236" s="9">
        <v>4611.96</v>
      </c>
      <c r="K236" s="16">
        <v>1196</v>
      </c>
      <c r="L236" s="6"/>
      <c r="M236" s="31"/>
      <c r="N236" s="11">
        <f t="shared" si="80"/>
        <v>1196</v>
      </c>
    </row>
    <row r="237" spans="1:14" x14ac:dyDescent="0.25">
      <c r="A237" s="6" t="s">
        <v>575</v>
      </c>
      <c r="B237" s="7">
        <f t="shared" ca="1" si="75"/>
        <v>154</v>
      </c>
      <c r="C237" s="12">
        <v>5</v>
      </c>
      <c r="D237" s="10">
        <v>99.9</v>
      </c>
      <c r="E237" s="10">
        <f t="shared" ref="E237:E239" si="81">D237*C237</f>
        <v>499.5</v>
      </c>
      <c r="F237" s="7" t="s">
        <v>1184</v>
      </c>
      <c r="G237" s="6" t="s">
        <v>576</v>
      </c>
      <c r="H237" s="7" t="s">
        <v>1197</v>
      </c>
      <c r="I237" s="8" t="s">
        <v>250</v>
      </c>
      <c r="J237" s="9">
        <v>6681.96</v>
      </c>
      <c r="K237" s="16">
        <v>1196</v>
      </c>
      <c r="L237" s="11">
        <f t="shared" ref="L237:L239" si="82">E237</f>
        <v>499.5</v>
      </c>
      <c r="M237" s="31">
        <f>Tabela2[[#This Row],[R$TOTAL FÉRIAS FACIL ]]-Tabela2[[#This Row],[R$ PARCELADO]]</f>
        <v>696.5</v>
      </c>
      <c r="N237" s="6"/>
    </row>
    <row r="238" spans="1:14" x14ac:dyDescent="0.25">
      <c r="A238" s="6" t="s">
        <v>577</v>
      </c>
      <c r="B238" s="7">
        <f t="shared" ca="1" si="75"/>
        <v>153</v>
      </c>
      <c r="C238" s="12">
        <v>5</v>
      </c>
      <c r="D238" s="10">
        <v>99.9</v>
      </c>
      <c r="E238" s="10">
        <f t="shared" si="81"/>
        <v>499.5</v>
      </c>
      <c r="F238" s="7" t="s">
        <v>1184</v>
      </c>
      <c r="G238" s="6" t="s">
        <v>578</v>
      </c>
      <c r="H238" s="7" t="s">
        <v>1197</v>
      </c>
      <c r="I238" s="8" t="s">
        <v>27</v>
      </c>
      <c r="J238" s="9">
        <v>6681.96</v>
      </c>
      <c r="K238" s="16">
        <v>1196</v>
      </c>
      <c r="L238" s="11">
        <f t="shared" si="82"/>
        <v>499.5</v>
      </c>
      <c r="M238" s="31">
        <f>Tabela2[[#This Row],[R$TOTAL FÉRIAS FACIL ]]-Tabela2[[#This Row],[R$ PARCELADO]]</f>
        <v>696.5</v>
      </c>
      <c r="N238" s="6"/>
    </row>
    <row r="239" spans="1:14" x14ac:dyDescent="0.25">
      <c r="A239" s="6" t="s">
        <v>579</v>
      </c>
      <c r="B239" s="7">
        <f t="shared" ca="1" si="75"/>
        <v>133</v>
      </c>
      <c r="C239" s="12">
        <v>4</v>
      </c>
      <c r="D239" s="10">
        <v>99.9</v>
      </c>
      <c r="E239" s="10">
        <f t="shared" si="81"/>
        <v>399.6</v>
      </c>
      <c r="F239" s="7" t="s">
        <v>1184</v>
      </c>
      <c r="G239" s="6" t="s">
        <v>580</v>
      </c>
      <c r="H239" s="7" t="s">
        <v>1197</v>
      </c>
      <c r="I239" s="8" t="s">
        <v>209</v>
      </c>
      <c r="J239" s="9">
        <v>6681.96</v>
      </c>
      <c r="K239" s="16">
        <v>1196</v>
      </c>
      <c r="L239" s="11">
        <f t="shared" si="82"/>
        <v>399.6</v>
      </c>
      <c r="M239" s="31">
        <f>Tabela2[[#This Row],[R$TOTAL FÉRIAS FACIL ]]-Tabela2[[#This Row],[R$ PARCELADO]]</f>
        <v>796.4</v>
      </c>
      <c r="N239" s="6"/>
    </row>
    <row r="240" spans="1:14" x14ac:dyDescent="0.25">
      <c r="A240" s="6" t="s">
        <v>581</v>
      </c>
      <c r="B240" s="6"/>
      <c r="C240" s="6"/>
      <c r="D240" s="6"/>
      <c r="E240" s="6"/>
      <c r="F240" s="7" t="s">
        <v>1184</v>
      </c>
      <c r="G240" s="6" t="s">
        <v>582</v>
      </c>
      <c r="H240" s="7" t="s">
        <v>13</v>
      </c>
      <c r="I240" s="8" t="s">
        <v>170</v>
      </c>
      <c r="J240" s="9">
        <v>5811.96</v>
      </c>
      <c r="K240" s="16">
        <v>1196</v>
      </c>
      <c r="L240" s="6"/>
      <c r="M240" s="31"/>
      <c r="N240" s="11">
        <f>K240</f>
        <v>1196</v>
      </c>
    </row>
    <row r="241" spans="1:14" x14ac:dyDescent="0.25">
      <c r="A241" s="6" t="s">
        <v>583</v>
      </c>
      <c r="B241" s="7">
        <f t="shared" ref="B241:B272" ca="1" si="83">$I$1-I241</f>
        <v>129</v>
      </c>
      <c r="C241" s="12">
        <v>4</v>
      </c>
      <c r="D241" s="10">
        <v>99.9</v>
      </c>
      <c r="E241" s="10">
        <f>D241*C241</f>
        <v>399.6</v>
      </c>
      <c r="F241" s="7" t="s">
        <v>1184</v>
      </c>
      <c r="G241" s="6" t="s">
        <v>584</v>
      </c>
      <c r="H241" s="7" t="s">
        <v>1197</v>
      </c>
      <c r="I241" s="8" t="s">
        <v>293</v>
      </c>
      <c r="J241" s="9">
        <v>7581.96</v>
      </c>
      <c r="K241" s="16">
        <v>1196</v>
      </c>
      <c r="L241" s="11">
        <f>E241</f>
        <v>399.6</v>
      </c>
      <c r="M241" s="31">
        <f>Tabela2[[#This Row],[R$TOTAL FÉRIAS FACIL ]]-Tabela2[[#This Row],[R$ PARCELADO]]</f>
        <v>796.4</v>
      </c>
      <c r="N241" s="6"/>
    </row>
    <row r="242" spans="1:14" x14ac:dyDescent="0.25">
      <c r="A242" s="6" t="s">
        <v>585</v>
      </c>
      <c r="B242" s="7">
        <f t="shared" ca="1" si="83"/>
        <v>159</v>
      </c>
      <c r="C242" s="7"/>
      <c r="D242" s="7"/>
      <c r="E242" s="7"/>
      <c r="F242" s="7" t="s">
        <v>1184</v>
      </c>
      <c r="G242" s="6" t="s">
        <v>586</v>
      </c>
      <c r="H242" s="7" t="s">
        <v>13</v>
      </c>
      <c r="I242" s="8" t="s">
        <v>229</v>
      </c>
      <c r="J242" s="9">
        <v>5811.96</v>
      </c>
      <c r="K242" s="16">
        <v>1196</v>
      </c>
      <c r="L242" s="6"/>
      <c r="M242" s="31"/>
      <c r="N242" s="11">
        <f>K242</f>
        <v>1196</v>
      </c>
    </row>
    <row r="243" spans="1:14" x14ac:dyDescent="0.25">
      <c r="A243" s="6" t="s">
        <v>587</v>
      </c>
      <c r="B243" s="7">
        <f t="shared" ca="1" si="83"/>
        <v>168</v>
      </c>
      <c r="C243" s="12">
        <v>6</v>
      </c>
      <c r="D243" s="10">
        <v>99.9</v>
      </c>
      <c r="E243" s="10">
        <f t="shared" ref="E243:E247" si="84">D243*C243</f>
        <v>599.40000000000009</v>
      </c>
      <c r="F243" s="7" t="s">
        <v>1184</v>
      </c>
      <c r="G243" s="6" t="s">
        <v>588</v>
      </c>
      <c r="H243" s="7" t="s">
        <v>1197</v>
      </c>
      <c r="I243" s="8" t="s">
        <v>29</v>
      </c>
      <c r="J243" s="9">
        <v>6681.96</v>
      </c>
      <c r="K243" s="16">
        <v>1196</v>
      </c>
      <c r="L243" s="11">
        <f t="shared" ref="L243:L247" si="85">E243</f>
        <v>599.40000000000009</v>
      </c>
      <c r="M243" s="31">
        <f>Tabela2[[#This Row],[R$TOTAL FÉRIAS FACIL ]]-Tabela2[[#This Row],[R$ PARCELADO]]</f>
        <v>596.59999999999991</v>
      </c>
      <c r="N243" s="6"/>
    </row>
    <row r="244" spans="1:14" x14ac:dyDescent="0.25">
      <c r="A244" s="6" t="s">
        <v>589</v>
      </c>
      <c r="B244" s="7">
        <f t="shared" ca="1" si="83"/>
        <v>178</v>
      </c>
      <c r="C244" s="12">
        <v>6</v>
      </c>
      <c r="D244" s="10">
        <v>99.9</v>
      </c>
      <c r="E244" s="10">
        <f t="shared" si="84"/>
        <v>599.40000000000009</v>
      </c>
      <c r="F244" s="7" t="s">
        <v>1184</v>
      </c>
      <c r="G244" s="6" t="s">
        <v>590</v>
      </c>
      <c r="H244" s="7" t="s">
        <v>1197</v>
      </c>
      <c r="I244" s="8" t="s">
        <v>165</v>
      </c>
      <c r="J244" s="9">
        <v>7581.96</v>
      </c>
      <c r="K244" s="16">
        <v>1196</v>
      </c>
      <c r="L244" s="11">
        <f t="shared" si="85"/>
        <v>599.40000000000009</v>
      </c>
      <c r="M244" s="31">
        <f>Tabela2[[#This Row],[R$TOTAL FÉRIAS FACIL ]]-Tabela2[[#This Row],[R$ PARCELADO]]</f>
        <v>596.59999999999991</v>
      </c>
      <c r="N244" s="6"/>
    </row>
    <row r="245" spans="1:14" x14ac:dyDescent="0.25">
      <c r="A245" s="6" t="s">
        <v>591</v>
      </c>
      <c r="B245" s="7">
        <f t="shared" ca="1" si="83"/>
        <v>178</v>
      </c>
      <c r="C245" s="12">
        <v>6</v>
      </c>
      <c r="D245" s="10">
        <v>99.9</v>
      </c>
      <c r="E245" s="10">
        <f t="shared" si="84"/>
        <v>599.40000000000009</v>
      </c>
      <c r="F245" s="7" t="s">
        <v>1184</v>
      </c>
      <c r="G245" s="6" t="s">
        <v>592</v>
      </c>
      <c r="H245" s="7" t="s">
        <v>1197</v>
      </c>
      <c r="I245" s="8" t="s">
        <v>165</v>
      </c>
      <c r="J245" s="9">
        <v>7581.96</v>
      </c>
      <c r="K245" s="16">
        <v>1196</v>
      </c>
      <c r="L245" s="11">
        <f t="shared" si="85"/>
        <v>599.40000000000009</v>
      </c>
      <c r="M245" s="31">
        <f>Tabela2[[#This Row],[R$TOTAL FÉRIAS FACIL ]]-Tabela2[[#This Row],[R$ PARCELADO]]</f>
        <v>596.59999999999991</v>
      </c>
      <c r="N245" s="6"/>
    </row>
    <row r="246" spans="1:14" x14ac:dyDescent="0.25">
      <c r="A246" s="6" t="s">
        <v>593</v>
      </c>
      <c r="B246" s="7">
        <f t="shared" ca="1" si="83"/>
        <v>178</v>
      </c>
      <c r="C246" s="12">
        <v>6</v>
      </c>
      <c r="D246" s="10">
        <v>99.9</v>
      </c>
      <c r="E246" s="10">
        <f t="shared" si="84"/>
        <v>599.40000000000009</v>
      </c>
      <c r="F246" s="7" t="s">
        <v>1184</v>
      </c>
      <c r="G246" s="6" t="s">
        <v>594</v>
      </c>
      <c r="H246" s="7" t="s">
        <v>1197</v>
      </c>
      <c r="I246" s="8" t="s">
        <v>165</v>
      </c>
      <c r="J246" s="9">
        <v>6681.96</v>
      </c>
      <c r="K246" s="16">
        <v>1196</v>
      </c>
      <c r="L246" s="11">
        <f t="shared" si="85"/>
        <v>599.40000000000009</v>
      </c>
      <c r="M246" s="31">
        <f>Tabela2[[#This Row],[R$TOTAL FÉRIAS FACIL ]]-Tabela2[[#This Row],[R$ PARCELADO]]</f>
        <v>596.59999999999991</v>
      </c>
      <c r="N246" s="6"/>
    </row>
    <row r="247" spans="1:14" x14ac:dyDescent="0.25">
      <c r="A247" s="6" t="s">
        <v>595</v>
      </c>
      <c r="B247" s="7">
        <f t="shared" ca="1" si="83"/>
        <v>137</v>
      </c>
      <c r="C247" s="12">
        <v>5</v>
      </c>
      <c r="D247" s="10">
        <v>99.9</v>
      </c>
      <c r="E247" s="10">
        <f t="shared" si="84"/>
        <v>499.5</v>
      </c>
      <c r="F247" s="7" t="s">
        <v>1184</v>
      </c>
      <c r="G247" s="6" t="s">
        <v>596</v>
      </c>
      <c r="H247" s="7" t="s">
        <v>1197</v>
      </c>
      <c r="I247" s="8" t="s">
        <v>66</v>
      </c>
      <c r="J247" s="9">
        <v>7581.96</v>
      </c>
      <c r="K247" s="16">
        <v>1196</v>
      </c>
      <c r="L247" s="11">
        <f t="shared" si="85"/>
        <v>499.5</v>
      </c>
      <c r="M247" s="31">
        <f>Tabela2[[#This Row],[R$TOTAL FÉRIAS FACIL ]]-Tabela2[[#This Row],[R$ PARCELADO]]</f>
        <v>696.5</v>
      </c>
      <c r="N247" s="6"/>
    </row>
    <row r="248" spans="1:14" x14ac:dyDescent="0.25">
      <c r="A248" s="6" t="s">
        <v>597</v>
      </c>
      <c r="B248" s="7">
        <f t="shared" ca="1" si="83"/>
        <v>130</v>
      </c>
      <c r="C248" s="7"/>
      <c r="D248" s="7"/>
      <c r="E248" s="7"/>
      <c r="F248" s="7" t="s">
        <v>1184</v>
      </c>
      <c r="G248" s="6" t="s">
        <v>598</v>
      </c>
      <c r="H248" s="7" t="s">
        <v>13</v>
      </c>
      <c r="I248" s="8" t="s">
        <v>319</v>
      </c>
      <c r="J248" s="9">
        <v>4611.96</v>
      </c>
      <c r="K248" s="16">
        <v>1196</v>
      </c>
      <c r="L248" s="6"/>
      <c r="M248" s="31"/>
      <c r="N248" s="11">
        <f t="shared" ref="N248:N252" si="86">K248</f>
        <v>1196</v>
      </c>
    </row>
    <row r="249" spans="1:14" x14ac:dyDescent="0.25">
      <c r="A249" s="6" t="s">
        <v>599</v>
      </c>
      <c r="B249" s="7">
        <f t="shared" ca="1" si="83"/>
        <v>165</v>
      </c>
      <c r="C249" s="7"/>
      <c r="D249" s="7"/>
      <c r="E249" s="7"/>
      <c r="F249" s="7" t="s">
        <v>1184</v>
      </c>
      <c r="G249" s="6" t="s">
        <v>600</v>
      </c>
      <c r="H249" s="7" t="s">
        <v>13</v>
      </c>
      <c r="I249" s="8" t="s">
        <v>150</v>
      </c>
      <c r="J249" s="9">
        <v>4188</v>
      </c>
      <c r="K249" s="16">
        <v>1196</v>
      </c>
      <c r="L249" s="6"/>
      <c r="M249" s="31"/>
      <c r="N249" s="11">
        <f t="shared" si="86"/>
        <v>1196</v>
      </c>
    </row>
    <row r="250" spans="1:14" x14ac:dyDescent="0.25">
      <c r="A250" s="6" t="s">
        <v>601</v>
      </c>
      <c r="B250" s="7">
        <f t="shared" ca="1" si="83"/>
        <v>157</v>
      </c>
      <c r="C250" s="7"/>
      <c r="D250" s="7"/>
      <c r="E250" s="7"/>
      <c r="F250" s="7" t="s">
        <v>1184</v>
      </c>
      <c r="G250" s="6" t="s">
        <v>602</v>
      </c>
      <c r="H250" s="7" t="s">
        <v>13</v>
      </c>
      <c r="I250" s="8" t="s">
        <v>603</v>
      </c>
      <c r="J250" s="9">
        <v>4611.96</v>
      </c>
      <c r="K250" s="16">
        <v>1196</v>
      </c>
      <c r="L250" s="6"/>
      <c r="M250" s="31"/>
      <c r="N250" s="11">
        <f t="shared" si="86"/>
        <v>1196</v>
      </c>
    </row>
    <row r="251" spans="1:14" x14ac:dyDescent="0.25">
      <c r="A251" s="6" t="s">
        <v>604</v>
      </c>
      <c r="B251" s="7">
        <f t="shared" ca="1" si="83"/>
        <v>105</v>
      </c>
      <c r="C251" s="7"/>
      <c r="D251" s="7"/>
      <c r="E251" s="7"/>
      <c r="F251" s="7" t="s">
        <v>1184</v>
      </c>
      <c r="G251" s="6" t="s">
        <v>605</v>
      </c>
      <c r="H251" s="7" t="s">
        <v>13</v>
      </c>
      <c r="I251" s="8" t="s">
        <v>99</v>
      </c>
      <c r="J251" s="9">
        <v>4611.96</v>
      </c>
      <c r="K251" s="16">
        <v>1196</v>
      </c>
      <c r="L251" s="6"/>
      <c r="M251" s="31"/>
      <c r="N251" s="11">
        <f t="shared" si="86"/>
        <v>1196</v>
      </c>
    </row>
    <row r="252" spans="1:14" x14ac:dyDescent="0.25">
      <c r="A252" s="6" t="s">
        <v>606</v>
      </c>
      <c r="B252" s="7">
        <f t="shared" ca="1" si="83"/>
        <v>169</v>
      </c>
      <c r="C252" s="7"/>
      <c r="D252" s="7"/>
      <c r="E252" s="7"/>
      <c r="F252" s="7" t="s">
        <v>1184</v>
      </c>
      <c r="G252" s="6" t="s">
        <v>607</v>
      </c>
      <c r="H252" s="7" t="s">
        <v>13</v>
      </c>
      <c r="I252" s="8" t="s">
        <v>153</v>
      </c>
      <c r="J252" s="9">
        <v>4611.96</v>
      </c>
      <c r="K252" s="16">
        <v>1196</v>
      </c>
      <c r="L252" s="6"/>
      <c r="M252" s="31"/>
      <c r="N252" s="11">
        <f t="shared" si="86"/>
        <v>1196</v>
      </c>
    </row>
    <row r="253" spans="1:14" x14ac:dyDescent="0.25">
      <c r="A253" s="6" t="s">
        <v>608</v>
      </c>
      <c r="B253" s="7">
        <f t="shared" ca="1" si="83"/>
        <v>131</v>
      </c>
      <c r="C253" s="12">
        <v>4</v>
      </c>
      <c r="D253" s="10">
        <v>99.9</v>
      </c>
      <c r="E253" s="10">
        <f>D253*C253</f>
        <v>399.6</v>
      </c>
      <c r="F253" s="7" t="s">
        <v>1184</v>
      </c>
      <c r="G253" s="6" t="s">
        <v>609</v>
      </c>
      <c r="H253" s="7" t="s">
        <v>1197</v>
      </c>
      <c r="I253" s="8" t="s">
        <v>6</v>
      </c>
      <c r="J253" s="9">
        <v>7581.96</v>
      </c>
      <c r="K253" s="16">
        <v>1196</v>
      </c>
      <c r="L253" s="11">
        <f>E253</f>
        <v>399.6</v>
      </c>
      <c r="M253" s="31">
        <f>Tabela2[[#This Row],[R$TOTAL FÉRIAS FACIL ]]-Tabela2[[#This Row],[R$ PARCELADO]]</f>
        <v>796.4</v>
      </c>
      <c r="N253" s="6"/>
    </row>
    <row r="254" spans="1:14" x14ac:dyDescent="0.25">
      <c r="A254" s="6" t="s">
        <v>610</v>
      </c>
      <c r="B254" s="7">
        <f t="shared" ca="1" si="83"/>
        <v>144</v>
      </c>
      <c r="C254" s="7"/>
      <c r="D254" s="7"/>
      <c r="E254" s="7"/>
      <c r="F254" s="7" t="s">
        <v>1184</v>
      </c>
      <c r="G254" s="6" t="s">
        <v>611</v>
      </c>
      <c r="H254" s="7" t="s">
        <v>13</v>
      </c>
      <c r="I254" s="8" t="s">
        <v>612</v>
      </c>
      <c r="J254" s="9">
        <v>4188</v>
      </c>
      <c r="K254" s="16">
        <v>1196</v>
      </c>
      <c r="L254" s="6"/>
      <c r="M254" s="31"/>
      <c r="N254" s="11">
        <f t="shared" ref="N254:N255" si="87">K254</f>
        <v>1196</v>
      </c>
    </row>
    <row r="255" spans="1:14" x14ac:dyDescent="0.25">
      <c r="A255" s="6" t="s">
        <v>613</v>
      </c>
      <c r="B255" s="7">
        <f t="shared" ca="1" si="83"/>
        <v>170</v>
      </c>
      <c r="C255" s="7"/>
      <c r="D255" s="7"/>
      <c r="E255" s="7"/>
      <c r="F255" s="7" t="s">
        <v>1184</v>
      </c>
      <c r="G255" s="6" t="s">
        <v>614</v>
      </c>
      <c r="H255" s="7" t="s">
        <v>13</v>
      </c>
      <c r="I255" s="8" t="s">
        <v>162</v>
      </c>
      <c r="J255" s="9">
        <v>4611.96</v>
      </c>
      <c r="K255" s="16">
        <v>1196</v>
      </c>
      <c r="L255" s="6"/>
      <c r="M255" s="31"/>
      <c r="N255" s="11">
        <f t="shared" si="87"/>
        <v>1196</v>
      </c>
    </row>
    <row r="256" spans="1:14" x14ac:dyDescent="0.25">
      <c r="A256" s="6" t="s">
        <v>615</v>
      </c>
      <c r="B256" s="7">
        <f t="shared" ca="1" si="83"/>
        <v>131</v>
      </c>
      <c r="C256" s="12">
        <v>4</v>
      </c>
      <c r="D256" s="10">
        <v>99.9</v>
      </c>
      <c r="E256" s="10">
        <f t="shared" ref="E256:E258" si="88">D256*C256</f>
        <v>399.6</v>
      </c>
      <c r="F256" s="7" t="s">
        <v>1184</v>
      </c>
      <c r="G256" s="6" t="s">
        <v>616</v>
      </c>
      <c r="H256" s="7" t="s">
        <v>1197</v>
      </c>
      <c r="I256" s="8" t="s">
        <v>6</v>
      </c>
      <c r="J256" s="9">
        <v>7581.96</v>
      </c>
      <c r="K256" s="16">
        <v>1196</v>
      </c>
      <c r="L256" s="11">
        <f t="shared" ref="L256:L258" si="89">E256</f>
        <v>399.6</v>
      </c>
      <c r="M256" s="31">
        <f>Tabela2[[#This Row],[R$TOTAL FÉRIAS FACIL ]]-Tabela2[[#This Row],[R$ PARCELADO]]</f>
        <v>796.4</v>
      </c>
      <c r="N256" s="6"/>
    </row>
    <row r="257" spans="1:14" x14ac:dyDescent="0.25">
      <c r="A257" s="6" t="s">
        <v>617</v>
      </c>
      <c r="B257" s="7">
        <f t="shared" ca="1" si="83"/>
        <v>161</v>
      </c>
      <c r="C257" s="12">
        <v>5</v>
      </c>
      <c r="D257" s="10">
        <v>99.9</v>
      </c>
      <c r="E257" s="10">
        <f t="shared" si="88"/>
        <v>499.5</v>
      </c>
      <c r="F257" s="7" t="s">
        <v>1184</v>
      </c>
      <c r="G257" s="6" t="s">
        <v>618</v>
      </c>
      <c r="H257" s="7" t="s">
        <v>1197</v>
      </c>
      <c r="I257" s="8" t="s">
        <v>194</v>
      </c>
      <c r="J257" s="9">
        <v>6681.96</v>
      </c>
      <c r="K257" s="16">
        <v>1196</v>
      </c>
      <c r="L257" s="11">
        <f t="shared" si="89"/>
        <v>499.5</v>
      </c>
      <c r="M257" s="31">
        <f>Tabela2[[#This Row],[R$TOTAL FÉRIAS FACIL ]]-Tabela2[[#This Row],[R$ PARCELADO]]</f>
        <v>696.5</v>
      </c>
      <c r="N257" s="6"/>
    </row>
    <row r="258" spans="1:14" x14ac:dyDescent="0.25">
      <c r="A258" s="6" t="s">
        <v>619</v>
      </c>
      <c r="B258" s="7">
        <f t="shared" ca="1" si="83"/>
        <v>159</v>
      </c>
      <c r="C258" s="12">
        <v>5</v>
      </c>
      <c r="D258" s="10">
        <v>99.9</v>
      </c>
      <c r="E258" s="10">
        <f t="shared" si="88"/>
        <v>499.5</v>
      </c>
      <c r="F258" s="7" t="s">
        <v>1184</v>
      </c>
      <c r="G258" s="6" t="s">
        <v>620</v>
      </c>
      <c r="H258" s="7" t="s">
        <v>1197</v>
      </c>
      <c r="I258" s="8" t="s">
        <v>229</v>
      </c>
      <c r="J258" s="9">
        <v>7881.96</v>
      </c>
      <c r="K258" s="16">
        <v>1196</v>
      </c>
      <c r="L258" s="11">
        <f t="shared" si="89"/>
        <v>499.5</v>
      </c>
      <c r="M258" s="31">
        <f>Tabela2[[#This Row],[R$TOTAL FÉRIAS FACIL ]]-Tabela2[[#This Row],[R$ PARCELADO]]</f>
        <v>696.5</v>
      </c>
      <c r="N258" s="6"/>
    </row>
    <row r="259" spans="1:14" x14ac:dyDescent="0.25">
      <c r="A259" s="6" t="s">
        <v>621</v>
      </c>
      <c r="B259" s="7">
        <f t="shared" ca="1" si="83"/>
        <v>177</v>
      </c>
      <c r="C259" s="7"/>
      <c r="D259" s="7"/>
      <c r="E259" s="7"/>
      <c r="F259" s="7" t="s">
        <v>1184</v>
      </c>
      <c r="G259" s="6" t="s">
        <v>622</v>
      </c>
      <c r="H259" s="7" t="s">
        <v>13</v>
      </c>
      <c r="I259" s="8" t="s">
        <v>185</v>
      </c>
      <c r="J259" s="9">
        <v>4188</v>
      </c>
      <c r="K259" s="16">
        <v>1196</v>
      </c>
      <c r="L259" s="6"/>
      <c r="M259" s="31"/>
      <c r="N259" s="11">
        <f t="shared" ref="N259:N260" si="90">K259</f>
        <v>1196</v>
      </c>
    </row>
    <row r="260" spans="1:14" x14ac:dyDescent="0.25">
      <c r="A260" s="6" t="s">
        <v>623</v>
      </c>
      <c r="B260" s="7">
        <f t="shared" ca="1" si="83"/>
        <v>177</v>
      </c>
      <c r="C260" s="7"/>
      <c r="D260" s="7"/>
      <c r="E260" s="7"/>
      <c r="F260" s="7" t="s">
        <v>1184</v>
      </c>
      <c r="G260" s="6" t="s">
        <v>624</v>
      </c>
      <c r="H260" s="7" t="s">
        <v>13</v>
      </c>
      <c r="I260" s="8" t="s">
        <v>185</v>
      </c>
      <c r="J260" s="9">
        <v>5811.96</v>
      </c>
      <c r="K260" s="16">
        <v>1196</v>
      </c>
      <c r="L260" s="6"/>
      <c r="M260" s="31"/>
      <c r="N260" s="11">
        <f t="shared" si="90"/>
        <v>1196</v>
      </c>
    </row>
    <row r="261" spans="1:14" x14ac:dyDescent="0.25">
      <c r="A261" s="6" t="s">
        <v>625</v>
      </c>
      <c r="B261" s="7">
        <f t="shared" ca="1" si="83"/>
        <v>129</v>
      </c>
      <c r="C261" s="12">
        <v>4</v>
      </c>
      <c r="D261" s="10">
        <v>99.9</v>
      </c>
      <c r="E261" s="10">
        <f t="shared" ref="E261:E265" si="91">D261*C261</f>
        <v>399.6</v>
      </c>
      <c r="F261" s="7" t="s">
        <v>1184</v>
      </c>
      <c r="G261" s="6" t="s">
        <v>626</v>
      </c>
      <c r="H261" s="7" t="s">
        <v>1197</v>
      </c>
      <c r="I261" s="8" t="s">
        <v>293</v>
      </c>
      <c r="J261" s="9">
        <v>7581.96</v>
      </c>
      <c r="K261" s="16">
        <v>1196</v>
      </c>
      <c r="L261" s="11">
        <f t="shared" ref="L261:L265" si="92">E261</f>
        <v>399.6</v>
      </c>
      <c r="M261" s="31">
        <f>Tabela2[[#This Row],[R$TOTAL FÉRIAS FACIL ]]-Tabela2[[#This Row],[R$ PARCELADO]]</f>
        <v>796.4</v>
      </c>
      <c r="N261" s="6"/>
    </row>
    <row r="262" spans="1:14" x14ac:dyDescent="0.25">
      <c r="A262" s="6" t="s">
        <v>627</v>
      </c>
      <c r="B262" s="7">
        <f t="shared" ca="1" si="83"/>
        <v>137</v>
      </c>
      <c r="C262" s="12">
        <v>5</v>
      </c>
      <c r="D262" s="10">
        <v>99.9</v>
      </c>
      <c r="E262" s="10">
        <f t="shared" si="91"/>
        <v>499.5</v>
      </c>
      <c r="F262" s="7" t="s">
        <v>1184</v>
      </c>
      <c r="G262" s="6" t="s">
        <v>628</v>
      </c>
      <c r="H262" s="7" t="s">
        <v>1197</v>
      </c>
      <c r="I262" s="8" t="s">
        <v>66</v>
      </c>
      <c r="J262" s="9">
        <v>6681.96</v>
      </c>
      <c r="K262" s="16">
        <v>1196</v>
      </c>
      <c r="L262" s="11">
        <f t="shared" si="92"/>
        <v>499.5</v>
      </c>
      <c r="M262" s="31">
        <f>Tabela2[[#This Row],[R$TOTAL FÉRIAS FACIL ]]-Tabela2[[#This Row],[R$ PARCELADO]]</f>
        <v>696.5</v>
      </c>
      <c r="N262" s="6"/>
    </row>
    <row r="263" spans="1:14" x14ac:dyDescent="0.25">
      <c r="A263" s="6" t="s">
        <v>629</v>
      </c>
      <c r="B263" s="7">
        <f t="shared" ca="1" si="83"/>
        <v>138</v>
      </c>
      <c r="C263" s="12">
        <v>5</v>
      </c>
      <c r="D263" s="10">
        <v>99.9</v>
      </c>
      <c r="E263" s="10">
        <f t="shared" si="91"/>
        <v>499.5</v>
      </c>
      <c r="F263" s="7" t="s">
        <v>1184</v>
      </c>
      <c r="G263" s="6" t="s">
        <v>630</v>
      </c>
      <c r="H263" s="7" t="s">
        <v>1197</v>
      </c>
      <c r="I263" s="8" t="s">
        <v>59</v>
      </c>
      <c r="J263" s="9">
        <v>7581.96</v>
      </c>
      <c r="K263" s="16">
        <v>1196</v>
      </c>
      <c r="L263" s="11">
        <f t="shared" si="92"/>
        <v>499.5</v>
      </c>
      <c r="M263" s="31">
        <f>Tabela2[[#This Row],[R$TOTAL FÉRIAS FACIL ]]-Tabela2[[#This Row],[R$ PARCELADO]]</f>
        <v>696.5</v>
      </c>
      <c r="N263" s="6"/>
    </row>
    <row r="264" spans="1:14" x14ac:dyDescent="0.25">
      <c r="A264" s="6" t="s">
        <v>631</v>
      </c>
      <c r="B264" s="7">
        <f t="shared" ca="1" si="83"/>
        <v>154</v>
      </c>
      <c r="C264" s="12">
        <v>5</v>
      </c>
      <c r="D264" s="10">
        <v>99.9</v>
      </c>
      <c r="E264" s="10">
        <f t="shared" si="91"/>
        <v>499.5</v>
      </c>
      <c r="F264" s="7" t="s">
        <v>1184</v>
      </c>
      <c r="G264" s="6" t="s">
        <v>632</v>
      </c>
      <c r="H264" s="7" t="s">
        <v>1197</v>
      </c>
      <c r="I264" s="8" t="s">
        <v>250</v>
      </c>
      <c r="J264" s="9">
        <v>6681.96</v>
      </c>
      <c r="K264" s="16">
        <v>1196</v>
      </c>
      <c r="L264" s="11">
        <f t="shared" si="92"/>
        <v>499.5</v>
      </c>
      <c r="M264" s="31">
        <f>Tabela2[[#This Row],[R$TOTAL FÉRIAS FACIL ]]-Tabela2[[#This Row],[R$ PARCELADO]]</f>
        <v>696.5</v>
      </c>
      <c r="N264" s="6"/>
    </row>
    <row r="265" spans="1:14" x14ac:dyDescent="0.25">
      <c r="A265" s="6" t="s">
        <v>633</v>
      </c>
      <c r="B265" s="7">
        <f t="shared" ca="1" si="83"/>
        <v>164</v>
      </c>
      <c r="C265" s="12">
        <v>5</v>
      </c>
      <c r="D265" s="10">
        <v>99.9</v>
      </c>
      <c r="E265" s="10">
        <f t="shared" si="91"/>
        <v>499.5</v>
      </c>
      <c r="F265" s="7" t="s">
        <v>1184</v>
      </c>
      <c r="G265" s="6" t="s">
        <v>634</v>
      </c>
      <c r="H265" s="7" t="s">
        <v>1197</v>
      </c>
      <c r="I265" s="8" t="s">
        <v>230</v>
      </c>
      <c r="J265" s="9">
        <v>6681.96</v>
      </c>
      <c r="K265" s="16">
        <v>1196</v>
      </c>
      <c r="L265" s="11">
        <f t="shared" si="92"/>
        <v>499.5</v>
      </c>
      <c r="M265" s="31">
        <f>Tabela2[[#This Row],[R$TOTAL FÉRIAS FACIL ]]-Tabela2[[#This Row],[R$ PARCELADO]]</f>
        <v>696.5</v>
      </c>
      <c r="N265" s="6"/>
    </row>
    <row r="266" spans="1:14" x14ac:dyDescent="0.25">
      <c r="A266" s="6" t="s">
        <v>635</v>
      </c>
      <c r="B266" s="7">
        <f t="shared" ca="1" si="83"/>
        <v>167</v>
      </c>
      <c r="C266" s="7"/>
      <c r="D266" s="7"/>
      <c r="E266" s="7"/>
      <c r="F266" s="7" t="s">
        <v>1184</v>
      </c>
      <c r="G266" s="6" t="s">
        <v>636</v>
      </c>
      <c r="H266" s="7" t="s">
        <v>13</v>
      </c>
      <c r="I266" s="8" t="s">
        <v>201</v>
      </c>
      <c r="J266" s="9">
        <v>4611.96</v>
      </c>
      <c r="K266" s="16">
        <v>1196</v>
      </c>
      <c r="L266" s="6"/>
      <c r="M266" s="31"/>
      <c r="N266" s="11">
        <f>K266</f>
        <v>1196</v>
      </c>
    </row>
    <row r="267" spans="1:14" x14ac:dyDescent="0.25">
      <c r="A267" s="6" t="s">
        <v>637</v>
      </c>
      <c r="B267" s="7">
        <f t="shared" ca="1" si="83"/>
        <v>170</v>
      </c>
      <c r="C267" s="12">
        <v>6</v>
      </c>
      <c r="D267" s="10">
        <v>99.9</v>
      </c>
      <c r="E267" s="10">
        <f t="shared" ref="E267:E268" si="93">D267*C267</f>
        <v>599.40000000000009</v>
      </c>
      <c r="F267" s="7" t="s">
        <v>1184</v>
      </c>
      <c r="G267" s="6" t="s">
        <v>638</v>
      </c>
      <c r="H267" s="7" t="s">
        <v>1197</v>
      </c>
      <c r="I267" s="8" t="s">
        <v>162</v>
      </c>
      <c r="J267" s="9">
        <v>6681.96</v>
      </c>
      <c r="K267" s="16">
        <v>1196</v>
      </c>
      <c r="L267" s="11">
        <f t="shared" ref="L267:L268" si="94">E267</f>
        <v>599.40000000000009</v>
      </c>
      <c r="M267" s="31">
        <f>Tabela2[[#This Row],[R$TOTAL FÉRIAS FACIL ]]-Tabela2[[#This Row],[R$ PARCELADO]]</f>
        <v>596.59999999999991</v>
      </c>
      <c r="N267" s="6"/>
    </row>
    <row r="268" spans="1:14" x14ac:dyDescent="0.25">
      <c r="A268" s="6" t="s">
        <v>639</v>
      </c>
      <c r="B268" s="7">
        <f t="shared" ca="1" si="83"/>
        <v>149</v>
      </c>
      <c r="C268" s="12">
        <v>5</v>
      </c>
      <c r="D268" s="10">
        <v>99.9</v>
      </c>
      <c r="E268" s="10">
        <f t="shared" si="93"/>
        <v>499.5</v>
      </c>
      <c r="F268" s="7" t="s">
        <v>1184</v>
      </c>
      <c r="G268" s="6" t="s">
        <v>640</v>
      </c>
      <c r="H268" s="7" t="s">
        <v>1197</v>
      </c>
      <c r="I268" s="8" t="s">
        <v>157</v>
      </c>
      <c r="J268" s="9">
        <v>9082.02</v>
      </c>
      <c r="K268" s="16">
        <v>1196</v>
      </c>
      <c r="L268" s="11">
        <f t="shared" si="94"/>
        <v>499.5</v>
      </c>
      <c r="M268" s="31">
        <f>Tabela2[[#This Row],[R$TOTAL FÉRIAS FACIL ]]-Tabela2[[#This Row],[R$ PARCELADO]]</f>
        <v>696.5</v>
      </c>
      <c r="N268" s="6"/>
    </row>
    <row r="269" spans="1:14" x14ac:dyDescent="0.25">
      <c r="A269" s="6" t="s">
        <v>641</v>
      </c>
      <c r="B269" s="7">
        <f t="shared" ca="1" si="83"/>
        <v>148</v>
      </c>
      <c r="C269" s="7"/>
      <c r="D269" s="7"/>
      <c r="E269" s="7"/>
      <c r="F269" s="7" t="s">
        <v>1184</v>
      </c>
      <c r="G269" s="6" t="s">
        <v>642</v>
      </c>
      <c r="H269" s="7" t="s">
        <v>13</v>
      </c>
      <c r="I269" s="8" t="s">
        <v>254</v>
      </c>
      <c r="J269" s="9">
        <v>4611.96</v>
      </c>
      <c r="K269" s="16">
        <v>1196</v>
      </c>
      <c r="L269" s="6"/>
      <c r="M269" s="31"/>
      <c r="N269" s="11">
        <f>K269</f>
        <v>1196</v>
      </c>
    </row>
    <row r="270" spans="1:14" x14ac:dyDescent="0.25">
      <c r="A270" s="6" t="s">
        <v>643</v>
      </c>
      <c r="B270" s="7">
        <f t="shared" ca="1" si="83"/>
        <v>164</v>
      </c>
      <c r="C270" s="12">
        <v>5</v>
      </c>
      <c r="D270" s="10">
        <v>99.9</v>
      </c>
      <c r="E270" s="10">
        <f t="shared" ref="E270:E274" si="95">D270*C270</f>
        <v>499.5</v>
      </c>
      <c r="F270" s="7" t="s">
        <v>1184</v>
      </c>
      <c r="G270" s="6" t="s">
        <v>644</v>
      </c>
      <c r="H270" s="7" t="s">
        <v>1197</v>
      </c>
      <c r="I270" s="8" t="s">
        <v>230</v>
      </c>
      <c r="J270" s="9">
        <v>6681.96</v>
      </c>
      <c r="K270" s="16">
        <v>1196</v>
      </c>
      <c r="L270" s="11">
        <f t="shared" ref="L270:L274" si="96">E270</f>
        <v>499.5</v>
      </c>
      <c r="M270" s="31">
        <f>Tabela2[[#This Row],[R$TOTAL FÉRIAS FACIL ]]-Tabela2[[#This Row],[R$ PARCELADO]]</f>
        <v>696.5</v>
      </c>
      <c r="N270" s="6"/>
    </row>
    <row r="271" spans="1:14" x14ac:dyDescent="0.25">
      <c r="A271" s="6" t="s">
        <v>645</v>
      </c>
      <c r="B271" s="7">
        <f t="shared" ca="1" si="83"/>
        <v>161</v>
      </c>
      <c r="C271" s="12">
        <v>5</v>
      </c>
      <c r="D271" s="10">
        <v>99.9</v>
      </c>
      <c r="E271" s="10">
        <f t="shared" si="95"/>
        <v>499.5</v>
      </c>
      <c r="F271" s="7" t="s">
        <v>1184</v>
      </c>
      <c r="G271" s="6" t="s">
        <v>646</v>
      </c>
      <c r="H271" s="7" t="s">
        <v>1197</v>
      </c>
      <c r="I271" s="8" t="s">
        <v>194</v>
      </c>
      <c r="J271" s="9">
        <v>6681.96</v>
      </c>
      <c r="K271" s="16">
        <v>1196</v>
      </c>
      <c r="L271" s="11">
        <f t="shared" si="96"/>
        <v>499.5</v>
      </c>
      <c r="M271" s="31">
        <f>Tabela2[[#This Row],[R$TOTAL FÉRIAS FACIL ]]-Tabela2[[#This Row],[R$ PARCELADO]]</f>
        <v>696.5</v>
      </c>
      <c r="N271" s="6"/>
    </row>
    <row r="272" spans="1:14" x14ac:dyDescent="0.25">
      <c r="A272" s="6" t="s">
        <v>647</v>
      </c>
      <c r="B272" s="7">
        <f t="shared" ca="1" si="83"/>
        <v>170</v>
      </c>
      <c r="C272" s="12">
        <v>6</v>
      </c>
      <c r="D272" s="10">
        <v>99.9</v>
      </c>
      <c r="E272" s="10">
        <f t="shared" si="95"/>
        <v>599.40000000000009</v>
      </c>
      <c r="F272" s="7" t="s">
        <v>1184</v>
      </c>
      <c r="G272" s="6" t="s">
        <v>648</v>
      </c>
      <c r="H272" s="7" t="s">
        <v>1197</v>
      </c>
      <c r="I272" s="8" t="s">
        <v>162</v>
      </c>
      <c r="J272" s="9">
        <v>6681.96</v>
      </c>
      <c r="K272" s="16">
        <v>1196</v>
      </c>
      <c r="L272" s="11">
        <f t="shared" si="96"/>
        <v>599.40000000000009</v>
      </c>
      <c r="M272" s="31">
        <f>Tabela2[[#This Row],[R$TOTAL FÉRIAS FACIL ]]-Tabela2[[#This Row],[R$ PARCELADO]]</f>
        <v>596.59999999999991</v>
      </c>
      <c r="N272" s="6"/>
    </row>
    <row r="273" spans="1:14" x14ac:dyDescent="0.25">
      <c r="A273" s="6" t="s">
        <v>649</v>
      </c>
      <c r="B273" s="7">
        <f t="shared" ref="B273:B304" ca="1" si="97">$I$1-I273</f>
        <v>137</v>
      </c>
      <c r="C273" s="12">
        <v>5</v>
      </c>
      <c r="D273" s="10">
        <v>99.9</v>
      </c>
      <c r="E273" s="10">
        <f t="shared" si="95"/>
        <v>499.5</v>
      </c>
      <c r="F273" s="7" t="s">
        <v>1184</v>
      </c>
      <c r="G273" s="6" t="s">
        <v>650</v>
      </c>
      <c r="H273" s="7" t="s">
        <v>1197</v>
      </c>
      <c r="I273" s="8" t="s">
        <v>66</v>
      </c>
      <c r="J273" s="9">
        <v>6681.96</v>
      </c>
      <c r="K273" s="16">
        <v>1196</v>
      </c>
      <c r="L273" s="11">
        <f t="shared" si="96"/>
        <v>499.5</v>
      </c>
      <c r="M273" s="31">
        <f>Tabela2[[#This Row],[R$TOTAL FÉRIAS FACIL ]]-Tabela2[[#This Row],[R$ PARCELADO]]</f>
        <v>696.5</v>
      </c>
      <c r="N273" s="6"/>
    </row>
    <row r="274" spans="1:14" x14ac:dyDescent="0.25">
      <c r="A274" s="6" t="s">
        <v>651</v>
      </c>
      <c r="B274" s="7">
        <f t="shared" ca="1" si="97"/>
        <v>159</v>
      </c>
      <c r="C274" s="12">
        <v>5</v>
      </c>
      <c r="D274" s="10">
        <v>99.9</v>
      </c>
      <c r="E274" s="10">
        <f t="shared" si="95"/>
        <v>499.5</v>
      </c>
      <c r="F274" s="7" t="s">
        <v>1184</v>
      </c>
      <c r="G274" s="6" t="s">
        <v>652</v>
      </c>
      <c r="H274" s="7" t="s">
        <v>1197</v>
      </c>
      <c r="I274" s="8" t="s">
        <v>229</v>
      </c>
      <c r="J274" s="9">
        <v>7881.96</v>
      </c>
      <c r="K274" s="16">
        <v>1196</v>
      </c>
      <c r="L274" s="11">
        <f t="shared" si="96"/>
        <v>499.5</v>
      </c>
      <c r="M274" s="31">
        <f>Tabela2[[#This Row],[R$TOTAL FÉRIAS FACIL ]]-Tabela2[[#This Row],[R$ PARCELADO]]</f>
        <v>696.5</v>
      </c>
      <c r="N274" s="6"/>
    </row>
    <row r="275" spans="1:14" x14ac:dyDescent="0.25">
      <c r="A275" s="6" t="s">
        <v>653</v>
      </c>
      <c r="B275" s="7">
        <f t="shared" ca="1" si="97"/>
        <v>149</v>
      </c>
      <c r="C275" s="7"/>
      <c r="D275" s="7"/>
      <c r="E275" s="7"/>
      <c r="F275" s="7" t="s">
        <v>1184</v>
      </c>
      <c r="G275" s="6" t="s">
        <v>654</v>
      </c>
      <c r="H275" s="7" t="s">
        <v>13</v>
      </c>
      <c r="I275" s="8" t="s">
        <v>157</v>
      </c>
      <c r="J275" s="9">
        <v>4611.96</v>
      </c>
      <c r="K275" s="16">
        <v>1196</v>
      </c>
      <c r="L275" s="6"/>
      <c r="M275" s="31"/>
      <c r="N275" s="11">
        <f>K275</f>
        <v>1196</v>
      </c>
    </row>
    <row r="276" spans="1:14" x14ac:dyDescent="0.25">
      <c r="A276" s="6" t="s">
        <v>655</v>
      </c>
      <c r="B276" s="7">
        <f t="shared" ca="1" si="97"/>
        <v>160</v>
      </c>
      <c r="C276" s="12">
        <v>5</v>
      </c>
      <c r="D276" s="10">
        <v>99.9</v>
      </c>
      <c r="E276" s="10">
        <f t="shared" ref="E276:E282" si="98">D276*C276</f>
        <v>499.5</v>
      </c>
      <c r="F276" s="7" t="s">
        <v>1184</v>
      </c>
      <c r="G276" s="6" t="s">
        <v>656</v>
      </c>
      <c r="H276" s="7" t="s">
        <v>1197</v>
      </c>
      <c r="I276" s="8" t="s">
        <v>36</v>
      </c>
      <c r="J276" s="9">
        <v>6681.96</v>
      </c>
      <c r="K276" s="16">
        <v>1196</v>
      </c>
      <c r="L276" s="11">
        <f t="shared" ref="L276:L282" si="99">E276</f>
        <v>499.5</v>
      </c>
      <c r="M276" s="31">
        <f>Tabela2[[#This Row],[R$TOTAL FÉRIAS FACIL ]]-Tabela2[[#This Row],[R$ PARCELADO]]</f>
        <v>696.5</v>
      </c>
      <c r="N276" s="6"/>
    </row>
    <row r="277" spans="1:14" x14ac:dyDescent="0.25">
      <c r="A277" s="6" t="s">
        <v>657</v>
      </c>
      <c r="B277" s="7">
        <f t="shared" ca="1" si="97"/>
        <v>138</v>
      </c>
      <c r="C277" s="12">
        <v>5</v>
      </c>
      <c r="D277" s="10">
        <v>99.9</v>
      </c>
      <c r="E277" s="10">
        <f t="shared" si="98"/>
        <v>499.5</v>
      </c>
      <c r="F277" s="7" t="s">
        <v>1184</v>
      </c>
      <c r="G277" s="6" t="s">
        <v>658</v>
      </c>
      <c r="H277" s="7" t="s">
        <v>1197</v>
      </c>
      <c r="I277" s="8" t="s">
        <v>59</v>
      </c>
      <c r="J277" s="9">
        <v>7581.96</v>
      </c>
      <c r="K277" s="16">
        <v>1196</v>
      </c>
      <c r="L277" s="11">
        <f t="shared" si="99"/>
        <v>499.5</v>
      </c>
      <c r="M277" s="31">
        <f>Tabela2[[#This Row],[R$TOTAL FÉRIAS FACIL ]]-Tabela2[[#This Row],[R$ PARCELADO]]</f>
        <v>696.5</v>
      </c>
      <c r="N277" s="6"/>
    </row>
    <row r="278" spans="1:14" x14ac:dyDescent="0.25">
      <c r="A278" s="6" t="s">
        <v>659</v>
      </c>
      <c r="B278" s="7">
        <f t="shared" ca="1" si="97"/>
        <v>140</v>
      </c>
      <c r="C278" s="12">
        <v>5</v>
      </c>
      <c r="D278" s="10">
        <v>99.9</v>
      </c>
      <c r="E278" s="10">
        <f t="shared" si="98"/>
        <v>499.5</v>
      </c>
      <c r="F278" s="7" t="s">
        <v>1184</v>
      </c>
      <c r="G278" s="6" t="s">
        <v>660</v>
      </c>
      <c r="H278" s="7" t="s">
        <v>1197</v>
      </c>
      <c r="I278" s="8" t="s">
        <v>57</v>
      </c>
      <c r="J278" s="9">
        <v>6681.96</v>
      </c>
      <c r="K278" s="16">
        <v>1196</v>
      </c>
      <c r="L278" s="11">
        <f t="shared" si="99"/>
        <v>499.5</v>
      </c>
      <c r="M278" s="31">
        <f>Tabela2[[#This Row],[R$TOTAL FÉRIAS FACIL ]]-Tabela2[[#This Row],[R$ PARCELADO]]</f>
        <v>696.5</v>
      </c>
      <c r="N278" s="6"/>
    </row>
    <row r="279" spans="1:14" x14ac:dyDescent="0.25">
      <c r="A279" s="6" t="s">
        <v>661</v>
      </c>
      <c r="B279" s="7">
        <f t="shared" ca="1" si="97"/>
        <v>140</v>
      </c>
      <c r="C279" s="12">
        <v>5</v>
      </c>
      <c r="D279" s="10">
        <v>99.9</v>
      </c>
      <c r="E279" s="10">
        <f t="shared" si="98"/>
        <v>499.5</v>
      </c>
      <c r="F279" s="7" t="s">
        <v>1184</v>
      </c>
      <c r="G279" s="6" t="s">
        <v>662</v>
      </c>
      <c r="H279" s="7" t="s">
        <v>1197</v>
      </c>
      <c r="I279" s="8" t="s">
        <v>57</v>
      </c>
      <c r="J279" s="9">
        <v>7581.96</v>
      </c>
      <c r="K279" s="16">
        <v>1196</v>
      </c>
      <c r="L279" s="11">
        <f t="shared" si="99"/>
        <v>499.5</v>
      </c>
      <c r="M279" s="31">
        <f>Tabela2[[#This Row],[R$TOTAL FÉRIAS FACIL ]]-Tabela2[[#This Row],[R$ PARCELADO]]</f>
        <v>696.5</v>
      </c>
      <c r="N279" s="6"/>
    </row>
    <row r="280" spans="1:14" x14ac:dyDescent="0.25">
      <c r="A280" s="6" t="s">
        <v>663</v>
      </c>
      <c r="B280" s="7">
        <f t="shared" ca="1" si="97"/>
        <v>164</v>
      </c>
      <c r="C280" s="12">
        <v>5</v>
      </c>
      <c r="D280" s="10">
        <v>99.9</v>
      </c>
      <c r="E280" s="10">
        <f t="shared" si="98"/>
        <v>499.5</v>
      </c>
      <c r="F280" s="7" t="s">
        <v>1184</v>
      </c>
      <c r="G280" s="6" t="s">
        <v>664</v>
      </c>
      <c r="H280" s="7" t="s">
        <v>1197</v>
      </c>
      <c r="I280" s="8" t="s">
        <v>230</v>
      </c>
      <c r="J280" s="9">
        <v>7581.96</v>
      </c>
      <c r="K280" s="16">
        <v>1196</v>
      </c>
      <c r="L280" s="11">
        <f t="shared" si="99"/>
        <v>499.5</v>
      </c>
      <c r="M280" s="31">
        <f>Tabela2[[#This Row],[R$TOTAL FÉRIAS FACIL ]]-Tabela2[[#This Row],[R$ PARCELADO]]</f>
        <v>696.5</v>
      </c>
      <c r="N280" s="6"/>
    </row>
    <row r="281" spans="1:14" x14ac:dyDescent="0.25">
      <c r="A281" s="6" t="s">
        <v>665</v>
      </c>
      <c r="B281" s="7">
        <f t="shared" ca="1" si="97"/>
        <v>166</v>
      </c>
      <c r="C281" s="12">
        <v>6</v>
      </c>
      <c r="D281" s="10">
        <v>99.9</v>
      </c>
      <c r="E281" s="10">
        <f t="shared" si="98"/>
        <v>599.40000000000009</v>
      </c>
      <c r="F281" s="7" t="s">
        <v>1184</v>
      </c>
      <c r="G281" s="6" t="s">
        <v>666</v>
      </c>
      <c r="H281" s="7" t="s">
        <v>1197</v>
      </c>
      <c r="I281" s="8" t="s">
        <v>32</v>
      </c>
      <c r="J281" s="9">
        <v>7581.96</v>
      </c>
      <c r="K281" s="16">
        <v>1196</v>
      </c>
      <c r="L281" s="11">
        <f t="shared" si="99"/>
        <v>599.40000000000009</v>
      </c>
      <c r="M281" s="31">
        <f>Tabela2[[#This Row],[R$TOTAL FÉRIAS FACIL ]]-Tabela2[[#This Row],[R$ PARCELADO]]</f>
        <v>596.59999999999991</v>
      </c>
      <c r="N281" s="6"/>
    </row>
    <row r="282" spans="1:14" x14ac:dyDescent="0.25">
      <c r="A282" s="6" t="s">
        <v>667</v>
      </c>
      <c r="B282" s="7">
        <f t="shared" ca="1" si="97"/>
        <v>129</v>
      </c>
      <c r="C282" s="12">
        <v>4</v>
      </c>
      <c r="D282" s="10">
        <v>99.9</v>
      </c>
      <c r="E282" s="10">
        <f t="shared" si="98"/>
        <v>399.6</v>
      </c>
      <c r="F282" s="7" t="s">
        <v>1184</v>
      </c>
      <c r="G282" s="6" t="s">
        <v>668</v>
      </c>
      <c r="H282" s="7" t="s">
        <v>1197</v>
      </c>
      <c r="I282" s="8" t="s">
        <v>293</v>
      </c>
      <c r="J282" s="9">
        <v>7581.96</v>
      </c>
      <c r="K282" s="16">
        <v>1196</v>
      </c>
      <c r="L282" s="11">
        <f t="shared" si="99"/>
        <v>399.6</v>
      </c>
      <c r="M282" s="31">
        <f>Tabela2[[#This Row],[R$TOTAL FÉRIAS FACIL ]]-Tabela2[[#This Row],[R$ PARCELADO]]</f>
        <v>796.4</v>
      </c>
      <c r="N282" s="6"/>
    </row>
    <row r="283" spans="1:14" x14ac:dyDescent="0.25">
      <c r="A283" s="6" t="s">
        <v>669</v>
      </c>
      <c r="B283" s="7">
        <f t="shared" ca="1" si="97"/>
        <v>158</v>
      </c>
      <c r="C283" s="7"/>
      <c r="D283" s="7"/>
      <c r="E283" s="7"/>
      <c r="F283" s="7" t="s">
        <v>1184</v>
      </c>
      <c r="G283" s="6" t="s">
        <v>670</v>
      </c>
      <c r="H283" s="7" t="s">
        <v>13</v>
      </c>
      <c r="I283" s="8" t="s">
        <v>233</v>
      </c>
      <c r="J283" s="9">
        <v>4611.96</v>
      </c>
      <c r="K283" s="16">
        <v>1196</v>
      </c>
      <c r="L283" s="6"/>
      <c r="M283" s="31"/>
      <c r="N283" s="11">
        <f>K283</f>
        <v>1196</v>
      </c>
    </row>
    <row r="284" spans="1:14" x14ac:dyDescent="0.25">
      <c r="A284" s="6" t="s">
        <v>671</v>
      </c>
      <c r="B284" s="7">
        <f t="shared" ca="1" si="97"/>
        <v>175</v>
      </c>
      <c r="C284" s="12">
        <v>6</v>
      </c>
      <c r="D284" s="10">
        <v>99.9</v>
      </c>
      <c r="E284" s="10">
        <f t="shared" ref="E284:E287" si="100">D284*C284</f>
        <v>599.40000000000009</v>
      </c>
      <c r="F284" s="7" t="s">
        <v>1184</v>
      </c>
      <c r="G284" s="6" t="s">
        <v>672</v>
      </c>
      <c r="H284" s="7" t="s">
        <v>1197</v>
      </c>
      <c r="I284" s="8" t="s">
        <v>673</v>
      </c>
      <c r="J284" s="9">
        <v>7581.96</v>
      </c>
      <c r="K284" s="16">
        <v>1196</v>
      </c>
      <c r="L284" s="11">
        <f t="shared" ref="L284:L287" si="101">E284</f>
        <v>599.40000000000009</v>
      </c>
      <c r="M284" s="31">
        <f>Tabela2[[#This Row],[R$TOTAL FÉRIAS FACIL ]]-Tabela2[[#This Row],[R$ PARCELADO]]</f>
        <v>596.59999999999991</v>
      </c>
      <c r="N284" s="6"/>
    </row>
    <row r="285" spans="1:14" x14ac:dyDescent="0.25">
      <c r="A285" s="6" t="s">
        <v>674</v>
      </c>
      <c r="B285" s="7">
        <f t="shared" ca="1" si="97"/>
        <v>169</v>
      </c>
      <c r="C285" s="12">
        <v>6</v>
      </c>
      <c r="D285" s="10">
        <v>99.9</v>
      </c>
      <c r="E285" s="10">
        <f t="shared" si="100"/>
        <v>599.40000000000009</v>
      </c>
      <c r="F285" s="7" t="s">
        <v>1184</v>
      </c>
      <c r="G285" s="6" t="s">
        <v>675</v>
      </c>
      <c r="H285" s="7" t="s">
        <v>1197</v>
      </c>
      <c r="I285" s="8" t="s">
        <v>153</v>
      </c>
      <c r="J285" s="9">
        <v>7581.96</v>
      </c>
      <c r="K285" s="16">
        <v>1196</v>
      </c>
      <c r="L285" s="11">
        <f t="shared" si="101"/>
        <v>599.40000000000009</v>
      </c>
      <c r="M285" s="31">
        <f>Tabela2[[#This Row],[R$TOTAL FÉRIAS FACIL ]]-Tabela2[[#This Row],[R$ PARCELADO]]</f>
        <v>596.59999999999991</v>
      </c>
      <c r="N285" s="6"/>
    </row>
    <row r="286" spans="1:14" x14ac:dyDescent="0.25">
      <c r="A286" s="6" t="s">
        <v>676</v>
      </c>
      <c r="B286" s="7">
        <f t="shared" ca="1" si="97"/>
        <v>165</v>
      </c>
      <c r="C286" s="12">
        <v>6</v>
      </c>
      <c r="D286" s="10">
        <v>99.9</v>
      </c>
      <c r="E286" s="10">
        <f t="shared" si="100"/>
        <v>599.40000000000009</v>
      </c>
      <c r="F286" s="7" t="s">
        <v>1184</v>
      </c>
      <c r="G286" s="6" t="s">
        <v>677</v>
      </c>
      <c r="H286" s="7" t="s">
        <v>1197</v>
      </c>
      <c r="I286" s="8" t="s">
        <v>150</v>
      </c>
      <c r="J286" s="9">
        <v>6681.96</v>
      </c>
      <c r="K286" s="16">
        <v>1196</v>
      </c>
      <c r="L286" s="11">
        <f t="shared" si="101"/>
        <v>599.40000000000009</v>
      </c>
      <c r="M286" s="31">
        <f>Tabela2[[#This Row],[R$TOTAL FÉRIAS FACIL ]]-Tabela2[[#This Row],[R$ PARCELADO]]</f>
        <v>596.59999999999991</v>
      </c>
      <c r="N286" s="6"/>
    </row>
    <row r="287" spans="1:14" x14ac:dyDescent="0.25">
      <c r="A287" s="6" t="s">
        <v>678</v>
      </c>
      <c r="B287" s="7">
        <f t="shared" ca="1" si="97"/>
        <v>168</v>
      </c>
      <c r="C287" s="12">
        <v>6</v>
      </c>
      <c r="D287" s="10">
        <v>99.9</v>
      </c>
      <c r="E287" s="10">
        <f t="shared" si="100"/>
        <v>599.40000000000009</v>
      </c>
      <c r="F287" s="7" t="s">
        <v>1184</v>
      </c>
      <c r="G287" s="6" t="s">
        <v>679</v>
      </c>
      <c r="H287" s="7" t="s">
        <v>1197</v>
      </c>
      <c r="I287" s="8" t="s">
        <v>29</v>
      </c>
      <c r="J287" s="9">
        <v>6681.96</v>
      </c>
      <c r="K287" s="16">
        <v>1196</v>
      </c>
      <c r="L287" s="11">
        <f t="shared" si="101"/>
        <v>599.40000000000009</v>
      </c>
      <c r="M287" s="31">
        <f>Tabela2[[#This Row],[R$TOTAL FÉRIAS FACIL ]]-Tabela2[[#This Row],[R$ PARCELADO]]</f>
        <v>596.59999999999991</v>
      </c>
      <c r="N287" s="6"/>
    </row>
    <row r="288" spans="1:14" x14ac:dyDescent="0.25">
      <c r="A288" s="6" t="s">
        <v>680</v>
      </c>
      <c r="B288" s="7">
        <f t="shared" ca="1" si="97"/>
        <v>163</v>
      </c>
      <c r="C288" s="7"/>
      <c r="D288" s="7"/>
      <c r="E288" s="7"/>
      <c r="F288" s="7" t="s">
        <v>1184</v>
      </c>
      <c r="G288" s="6" t="s">
        <v>681</v>
      </c>
      <c r="H288" s="7" t="s">
        <v>13</v>
      </c>
      <c r="I288" s="8" t="s">
        <v>149</v>
      </c>
      <c r="J288" s="9">
        <v>4611.96</v>
      </c>
      <c r="K288" s="16">
        <v>1196</v>
      </c>
      <c r="L288" s="6"/>
      <c r="M288" s="31"/>
      <c r="N288" s="11">
        <f>K288</f>
        <v>1196</v>
      </c>
    </row>
    <row r="289" spans="1:14" x14ac:dyDescent="0.25">
      <c r="A289" s="6" t="s">
        <v>682</v>
      </c>
      <c r="B289" s="7">
        <f t="shared" ca="1" si="97"/>
        <v>137</v>
      </c>
      <c r="C289" s="12">
        <v>5</v>
      </c>
      <c r="D289" s="10">
        <v>99.9</v>
      </c>
      <c r="E289" s="10">
        <f t="shared" ref="E289:E290" si="102">D289*C289</f>
        <v>499.5</v>
      </c>
      <c r="F289" s="7" t="s">
        <v>1184</v>
      </c>
      <c r="G289" s="6" t="s">
        <v>683</v>
      </c>
      <c r="H289" s="7" t="s">
        <v>1197</v>
      </c>
      <c r="I289" s="8" t="s">
        <v>66</v>
      </c>
      <c r="J289" s="9">
        <v>6681.96</v>
      </c>
      <c r="K289" s="16">
        <v>1196</v>
      </c>
      <c r="L289" s="11">
        <f t="shared" ref="L289:L290" si="103">E289</f>
        <v>499.5</v>
      </c>
      <c r="M289" s="31">
        <f>Tabela2[[#This Row],[R$TOTAL FÉRIAS FACIL ]]-Tabela2[[#This Row],[R$ PARCELADO]]</f>
        <v>696.5</v>
      </c>
      <c r="N289" s="6"/>
    </row>
    <row r="290" spans="1:14" x14ac:dyDescent="0.25">
      <c r="A290" s="6" t="s">
        <v>684</v>
      </c>
      <c r="B290" s="7">
        <f t="shared" ca="1" si="97"/>
        <v>134</v>
      </c>
      <c r="C290" s="12">
        <v>4</v>
      </c>
      <c r="D290" s="10">
        <v>99.9</v>
      </c>
      <c r="E290" s="10">
        <f t="shared" si="102"/>
        <v>399.6</v>
      </c>
      <c r="F290" s="7" t="s">
        <v>1184</v>
      </c>
      <c r="G290" s="6" t="s">
        <v>685</v>
      </c>
      <c r="H290" s="7" t="s">
        <v>1197</v>
      </c>
      <c r="I290" s="8" t="s">
        <v>339</v>
      </c>
      <c r="J290" s="9">
        <v>7581.96</v>
      </c>
      <c r="K290" s="16">
        <v>1196</v>
      </c>
      <c r="L290" s="11">
        <f t="shared" si="103"/>
        <v>399.6</v>
      </c>
      <c r="M290" s="31">
        <f>Tabela2[[#This Row],[R$TOTAL FÉRIAS FACIL ]]-Tabela2[[#This Row],[R$ PARCELADO]]</f>
        <v>796.4</v>
      </c>
      <c r="N290" s="6"/>
    </row>
    <row r="291" spans="1:14" x14ac:dyDescent="0.25">
      <c r="A291" s="6" t="s">
        <v>686</v>
      </c>
      <c r="B291" s="7">
        <f t="shared" ca="1" si="97"/>
        <v>162</v>
      </c>
      <c r="C291" s="7"/>
      <c r="D291" s="7"/>
      <c r="E291" s="7"/>
      <c r="F291" s="7" t="s">
        <v>1184</v>
      </c>
      <c r="G291" s="6" t="s">
        <v>687</v>
      </c>
      <c r="H291" s="7" t="s">
        <v>13</v>
      </c>
      <c r="I291" s="8" t="s">
        <v>195</v>
      </c>
      <c r="J291" s="9">
        <v>4611.96</v>
      </c>
      <c r="K291" s="16">
        <v>1196</v>
      </c>
      <c r="L291" s="6"/>
      <c r="M291" s="31"/>
      <c r="N291" s="11">
        <f>K291</f>
        <v>1196</v>
      </c>
    </row>
    <row r="292" spans="1:14" x14ac:dyDescent="0.25">
      <c r="A292" s="6" t="s">
        <v>688</v>
      </c>
      <c r="B292" s="7">
        <f t="shared" ca="1" si="97"/>
        <v>144</v>
      </c>
      <c r="C292" s="12">
        <v>5</v>
      </c>
      <c r="D292" s="10">
        <v>99.9</v>
      </c>
      <c r="E292" s="10">
        <f t="shared" ref="E292:E293" si="104">D292*C292</f>
        <v>499.5</v>
      </c>
      <c r="F292" s="7" t="s">
        <v>1184</v>
      </c>
      <c r="G292" s="6" t="s">
        <v>689</v>
      </c>
      <c r="H292" s="7" t="s">
        <v>1197</v>
      </c>
      <c r="I292" s="8" t="s">
        <v>612</v>
      </c>
      <c r="J292" s="9">
        <v>6681.96</v>
      </c>
      <c r="K292" s="16">
        <v>1196</v>
      </c>
      <c r="L292" s="11">
        <f t="shared" ref="L292:L293" si="105">E292</f>
        <v>499.5</v>
      </c>
      <c r="M292" s="31">
        <f>Tabela2[[#This Row],[R$TOTAL FÉRIAS FACIL ]]-Tabela2[[#This Row],[R$ PARCELADO]]</f>
        <v>696.5</v>
      </c>
      <c r="N292" s="6"/>
    </row>
    <row r="293" spans="1:14" x14ac:dyDescent="0.25">
      <c r="A293" s="6" t="s">
        <v>690</v>
      </c>
      <c r="B293" s="7">
        <f t="shared" ca="1" si="97"/>
        <v>144</v>
      </c>
      <c r="C293" s="12">
        <v>5</v>
      </c>
      <c r="D293" s="10">
        <v>99.9</v>
      </c>
      <c r="E293" s="10">
        <f t="shared" si="104"/>
        <v>499.5</v>
      </c>
      <c r="F293" s="7" t="s">
        <v>1184</v>
      </c>
      <c r="G293" s="6" t="s">
        <v>691</v>
      </c>
      <c r="H293" s="7" t="s">
        <v>1197</v>
      </c>
      <c r="I293" s="8" t="s">
        <v>612</v>
      </c>
      <c r="J293" s="9">
        <v>6681.96</v>
      </c>
      <c r="K293" s="16">
        <v>1196</v>
      </c>
      <c r="L293" s="11">
        <f t="shared" si="105"/>
        <v>499.5</v>
      </c>
      <c r="M293" s="31">
        <f>Tabela2[[#This Row],[R$TOTAL FÉRIAS FACIL ]]-Tabela2[[#This Row],[R$ PARCELADO]]</f>
        <v>696.5</v>
      </c>
      <c r="N293" s="6"/>
    </row>
    <row r="294" spans="1:14" x14ac:dyDescent="0.25">
      <c r="A294" s="6" t="s">
        <v>692</v>
      </c>
      <c r="B294" s="7">
        <f t="shared" ca="1" si="97"/>
        <v>144</v>
      </c>
      <c r="C294" s="7"/>
      <c r="D294" s="7"/>
      <c r="E294" s="7"/>
      <c r="F294" s="7" t="s">
        <v>1184</v>
      </c>
      <c r="G294" s="6" t="s">
        <v>693</v>
      </c>
      <c r="H294" s="7" t="s">
        <v>13</v>
      </c>
      <c r="I294" s="8" t="s">
        <v>612</v>
      </c>
      <c r="J294" s="9">
        <v>4611.96</v>
      </c>
      <c r="K294" s="16">
        <v>1196</v>
      </c>
      <c r="L294" s="6"/>
      <c r="M294" s="31"/>
      <c r="N294" s="11">
        <f>K294</f>
        <v>1196</v>
      </c>
    </row>
    <row r="295" spans="1:14" x14ac:dyDescent="0.25">
      <c r="A295" s="6" t="s">
        <v>694</v>
      </c>
      <c r="B295" s="7">
        <f t="shared" ca="1" si="97"/>
        <v>143</v>
      </c>
      <c r="C295" s="12">
        <v>5</v>
      </c>
      <c r="D295" s="10">
        <v>99.9</v>
      </c>
      <c r="E295" s="10">
        <f>D295*C295</f>
        <v>499.5</v>
      </c>
      <c r="F295" s="7" t="s">
        <v>1184</v>
      </c>
      <c r="G295" s="6" t="s">
        <v>695</v>
      </c>
      <c r="H295" s="7" t="s">
        <v>1197</v>
      </c>
      <c r="I295" s="8" t="s">
        <v>210</v>
      </c>
      <c r="J295" s="9">
        <v>6681.96</v>
      </c>
      <c r="K295" s="16">
        <v>1196</v>
      </c>
      <c r="L295" s="11">
        <f>E295</f>
        <v>499.5</v>
      </c>
      <c r="M295" s="31">
        <f>Tabela2[[#This Row],[R$TOTAL FÉRIAS FACIL ]]-Tabela2[[#This Row],[R$ PARCELADO]]</f>
        <v>696.5</v>
      </c>
      <c r="N295" s="6"/>
    </row>
    <row r="296" spans="1:14" x14ac:dyDescent="0.25">
      <c r="A296" s="6" t="s">
        <v>696</v>
      </c>
      <c r="B296" s="7">
        <f t="shared" ca="1" si="97"/>
        <v>153</v>
      </c>
      <c r="C296" s="7"/>
      <c r="D296" s="7"/>
      <c r="E296" s="7"/>
      <c r="F296" s="7" t="s">
        <v>1184</v>
      </c>
      <c r="G296" s="6" t="s">
        <v>697</v>
      </c>
      <c r="H296" s="7" t="s">
        <v>13</v>
      </c>
      <c r="I296" s="8" t="s">
        <v>27</v>
      </c>
      <c r="J296" s="9">
        <v>4611.96</v>
      </c>
      <c r="K296" s="16">
        <v>1196</v>
      </c>
      <c r="L296" s="6"/>
      <c r="M296" s="31"/>
      <c r="N296" s="11">
        <f>K296</f>
        <v>1196</v>
      </c>
    </row>
    <row r="297" spans="1:14" x14ac:dyDescent="0.25">
      <c r="A297" s="6" t="s">
        <v>698</v>
      </c>
      <c r="B297" s="7">
        <f t="shared" ca="1" si="97"/>
        <v>150</v>
      </c>
      <c r="C297" s="12">
        <v>5</v>
      </c>
      <c r="D297" s="10">
        <v>99.9</v>
      </c>
      <c r="E297" s="10">
        <f t="shared" ref="E297:E299" si="106">D297*C297</f>
        <v>499.5</v>
      </c>
      <c r="F297" s="7" t="s">
        <v>1184</v>
      </c>
      <c r="G297" s="6" t="s">
        <v>699</v>
      </c>
      <c r="H297" s="7" t="s">
        <v>1197</v>
      </c>
      <c r="I297" s="8" t="s">
        <v>183</v>
      </c>
      <c r="J297" s="9">
        <v>6681.96</v>
      </c>
      <c r="K297" s="16">
        <v>1196</v>
      </c>
      <c r="L297" s="11">
        <f t="shared" ref="L297:L299" si="107">E297</f>
        <v>499.5</v>
      </c>
      <c r="M297" s="31">
        <f>Tabela2[[#This Row],[R$TOTAL FÉRIAS FACIL ]]-Tabela2[[#This Row],[R$ PARCELADO]]</f>
        <v>696.5</v>
      </c>
      <c r="N297" s="6"/>
    </row>
    <row r="298" spans="1:14" x14ac:dyDescent="0.25">
      <c r="A298" s="6" t="s">
        <v>700</v>
      </c>
      <c r="B298" s="7">
        <f t="shared" ca="1" si="97"/>
        <v>149</v>
      </c>
      <c r="C298" s="12">
        <v>5</v>
      </c>
      <c r="D298" s="10">
        <v>99.9</v>
      </c>
      <c r="E298" s="10">
        <f t="shared" si="106"/>
        <v>499.5</v>
      </c>
      <c r="F298" s="7" t="s">
        <v>1184</v>
      </c>
      <c r="G298" s="6" t="s">
        <v>701</v>
      </c>
      <c r="H298" s="7" t="s">
        <v>1197</v>
      </c>
      <c r="I298" s="8" t="s">
        <v>157</v>
      </c>
      <c r="J298" s="9">
        <v>6681.96</v>
      </c>
      <c r="K298" s="16">
        <v>1196</v>
      </c>
      <c r="L298" s="11">
        <f t="shared" si="107"/>
        <v>499.5</v>
      </c>
      <c r="M298" s="31">
        <f>Tabela2[[#This Row],[R$TOTAL FÉRIAS FACIL ]]-Tabela2[[#This Row],[R$ PARCELADO]]</f>
        <v>696.5</v>
      </c>
      <c r="N298" s="6"/>
    </row>
    <row r="299" spans="1:14" x14ac:dyDescent="0.25">
      <c r="A299" s="6" t="s">
        <v>702</v>
      </c>
      <c r="B299" s="7">
        <f t="shared" ca="1" si="97"/>
        <v>158</v>
      </c>
      <c r="C299" s="12">
        <v>5</v>
      </c>
      <c r="D299" s="10">
        <v>99.9</v>
      </c>
      <c r="E299" s="10">
        <f t="shared" si="106"/>
        <v>499.5</v>
      </c>
      <c r="F299" s="7" t="s">
        <v>1184</v>
      </c>
      <c r="G299" s="6" t="s">
        <v>703</v>
      </c>
      <c r="H299" s="7" t="s">
        <v>1197</v>
      </c>
      <c r="I299" s="8" t="s">
        <v>233</v>
      </c>
      <c r="J299" s="9">
        <v>6681.96</v>
      </c>
      <c r="K299" s="16">
        <v>1196</v>
      </c>
      <c r="L299" s="11">
        <f t="shared" si="107"/>
        <v>499.5</v>
      </c>
      <c r="M299" s="31">
        <f>Tabela2[[#This Row],[R$TOTAL FÉRIAS FACIL ]]-Tabela2[[#This Row],[R$ PARCELADO]]</f>
        <v>696.5</v>
      </c>
      <c r="N299" s="6"/>
    </row>
    <row r="300" spans="1:14" x14ac:dyDescent="0.25">
      <c r="A300" s="6" t="s">
        <v>704</v>
      </c>
      <c r="B300" s="7">
        <f t="shared" ca="1" si="97"/>
        <v>160</v>
      </c>
      <c r="C300" s="7"/>
      <c r="D300" s="7"/>
      <c r="E300" s="7"/>
      <c r="F300" s="7" t="s">
        <v>1184</v>
      </c>
      <c r="G300" s="6" t="s">
        <v>705</v>
      </c>
      <c r="H300" s="7" t="s">
        <v>13</v>
      </c>
      <c r="I300" s="8" t="s">
        <v>36</v>
      </c>
      <c r="J300" s="9">
        <v>4611.96</v>
      </c>
      <c r="K300" s="16">
        <v>1196</v>
      </c>
      <c r="L300" s="6"/>
      <c r="M300" s="31"/>
      <c r="N300" s="11">
        <f>K300</f>
        <v>1196</v>
      </c>
    </row>
    <row r="301" spans="1:14" x14ac:dyDescent="0.25">
      <c r="A301" s="6" t="s">
        <v>706</v>
      </c>
      <c r="B301" s="7">
        <f t="shared" ca="1" si="97"/>
        <v>159</v>
      </c>
      <c r="C301" s="12">
        <v>5</v>
      </c>
      <c r="D301" s="10">
        <v>99.9</v>
      </c>
      <c r="E301" s="10">
        <f>D301*C301</f>
        <v>499.5</v>
      </c>
      <c r="F301" s="7" t="s">
        <v>1184</v>
      </c>
      <c r="G301" s="6" t="s">
        <v>707</v>
      </c>
      <c r="H301" s="7" t="s">
        <v>1197</v>
      </c>
      <c r="I301" s="8" t="s">
        <v>229</v>
      </c>
      <c r="J301" s="9">
        <v>6681.96</v>
      </c>
      <c r="K301" s="16">
        <v>1196</v>
      </c>
      <c r="L301" s="11">
        <f>E301</f>
        <v>499.5</v>
      </c>
      <c r="M301" s="31">
        <f>Tabela2[[#This Row],[R$TOTAL FÉRIAS FACIL ]]-Tabela2[[#This Row],[R$ PARCELADO]]</f>
        <v>696.5</v>
      </c>
      <c r="N301" s="6"/>
    </row>
    <row r="302" spans="1:14" x14ac:dyDescent="0.25">
      <c r="A302" s="6" t="s">
        <v>708</v>
      </c>
      <c r="B302" s="7">
        <f t="shared" ca="1" si="97"/>
        <v>150</v>
      </c>
      <c r="C302" s="7"/>
      <c r="D302" s="7"/>
      <c r="E302" s="7"/>
      <c r="F302" s="7" t="s">
        <v>1184</v>
      </c>
      <c r="G302" s="6" t="s">
        <v>709</v>
      </c>
      <c r="H302" s="7" t="s">
        <v>13</v>
      </c>
      <c r="I302" s="8" t="s">
        <v>183</v>
      </c>
      <c r="J302" s="9">
        <v>4611.96</v>
      </c>
      <c r="K302" s="16">
        <v>1196</v>
      </c>
      <c r="L302" s="6"/>
      <c r="M302" s="31"/>
      <c r="N302" s="11">
        <f>K302</f>
        <v>1196</v>
      </c>
    </row>
    <row r="303" spans="1:14" x14ac:dyDescent="0.25">
      <c r="A303" s="6" t="s">
        <v>710</v>
      </c>
      <c r="B303" s="7">
        <f t="shared" ca="1" si="97"/>
        <v>151</v>
      </c>
      <c r="C303" s="12">
        <v>5</v>
      </c>
      <c r="D303" s="10">
        <v>99.9</v>
      </c>
      <c r="E303" s="10">
        <f>D303*C303</f>
        <v>499.5</v>
      </c>
      <c r="F303" s="7" t="s">
        <v>1184</v>
      </c>
      <c r="G303" s="6" t="s">
        <v>711</v>
      </c>
      <c r="H303" s="7" t="s">
        <v>1197</v>
      </c>
      <c r="I303" s="8" t="s">
        <v>198</v>
      </c>
      <c r="J303" s="9">
        <v>7581.96</v>
      </c>
      <c r="K303" s="16">
        <v>1196</v>
      </c>
      <c r="L303" s="11">
        <f>E303</f>
        <v>499.5</v>
      </c>
      <c r="M303" s="31">
        <f>Tabela2[[#This Row],[R$TOTAL FÉRIAS FACIL ]]-Tabela2[[#This Row],[R$ PARCELADO]]</f>
        <v>696.5</v>
      </c>
      <c r="N303" s="6"/>
    </row>
    <row r="304" spans="1:14" x14ac:dyDescent="0.25">
      <c r="A304" s="6" t="s">
        <v>712</v>
      </c>
      <c r="B304" s="7">
        <f t="shared" ca="1" si="97"/>
        <v>151</v>
      </c>
      <c r="C304" s="7"/>
      <c r="D304" s="7"/>
      <c r="E304" s="7"/>
      <c r="F304" s="7" t="s">
        <v>1184</v>
      </c>
      <c r="G304" s="6" t="s">
        <v>713</v>
      </c>
      <c r="H304" s="7" t="s">
        <v>13</v>
      </c>
      <c r="I304" s="8" t="s">
        <v>198</v>
      </c>
      <c r="J304" s="9">
        <v>4611.96</v>
      </c>
      <c r="K304" s="16">
        <v>1196</v>
      </c>
      <c r="L304" s="6"/>
      <c r="M304" s="31"/>
      <c r="N304" s="11">
        <f t="shared" ref="N304:N307" si="108">K304</f>
        <v>1196</v>
      </c>
    </row>
    <row r="305" spans="1:14" x14ac:dyDescent="0.25">
      <c r="A305" s="6" t="s">
        <v>714</v>
      </c>
      <c r="B305" s="7">
        <f t="shared" ref="B305:B341" ca="1" si="109">$I$1-I305</f>
        <v>138</v>
      </c>
      <c r="C305" s="7"/>
      <c r="D305" s="7"/>
      <c r="E305" s="7"/>
      <c r="F305" s="7" t="s">
        <v>1184</v>
      </c>
      <c r="G305" s="6" t="s">
        <v>715</v>
      </c>
      <c r="H305" s="7" t="s">
        <v>13</v>
      </c>
      <c r="I305" s="8" t="s">
        <v>59</v>
      </c>
      <c r="J305" s="9">
        <v>4611.96</v>
      </c>
      <c r="K305" s="16">
        <v>1196</v>
      </c>
      <c r="L305" s="6"/>
      <c r="M305" s="31"/>
      <c r="N305" s="11">
        <f t="shared" si="108"/>
        <v>1196</v>
      </c>
    </row>
    <row r="306" spans="1:14" x14ac:dyDescent="0.25">
      <c r="A306" s="6" t="s">
        <v>716</v>
      </c>
      <c r="B306" s="7">
        <f t="shared" ca="1" si="109"/>
        <v>138</v>
      </c>
      <c r="C306" s="7"/>
      <c r="D306" s="7"/>
      <c r="E306" s="7"/>
      <c r="F306" s="7" t="s">
        <v>1184</v>
      </c>
      <c r="G306" s="6" t="s">
        <v>717</v>
      </c>
      <c r="H306" s="7" t="s">
        <v>13</v>
      </c>
      <c r="I306" s="8" t="s">
        <v>59</v>
      </c>
      <c r="J306" s="9">
        <v>4188</v>
      </c>
      <c r="K306" s="16">
        <v>1196</v>
      </c>
      <c r="L306" s="6"/>
      <c r="M306" s="31"/>
      <c r="N306" s="11">
        <f t="shared" si="108"/>
        <v>1196</v>
      </c>
    </row>
    <row r="307" spans="1:14" x14ac:dyDescent="0.25">
      <c r="A307" s="6" t="s">
        <v>718</v>
      </c>
      <c r="B307" s="7">
        <f t="shared" ca="1" si="109"/>
        <v>154</v>
      </c>
      <c r="C307" s="7"/>
      <c r="D307" s="7"/>
      <c r="E307" s="7"/>
      <c r="F307" s="7" t="s">
        <v>1184</v>
      </c>
      <c r="G307" s="6" t="s">
        <v>719</v>
      </c>
      <c r="H307" s="7" t="s">
        <v>13</v>
      </c>
      <c r="I307" s="8" t="s">
        <v>250</v>
      </c>
      <c r="J307" s="9">
        <v>4611.96</v>
      </c>
      <c r="K307" s="16">
        <v>1196</v>
      </c>
      <c r="L307" s="6"/>
      <c r="M307" s="31"/>
      <c r="N307" s="11">
        <f t="shared" si="108"/>
        <v>1196</v>
      </c>
    </row>
    <row r="308" spans="1:14" x14ac:dyDescent="0.25">
      <c r="A308" s="6" t="s">
        <v>720</v>
      </c>
      <c r="B308" s="7">
        <f t="shared" ca="1" si="109"/>
        <v>149</v>
      </c>
      <c r="C308" s="12">
        <v>5</v>
      </c>
      <c r="D308" s="10">
        <v>99.9</v>
      </c>
      <c r="E308" s="10">
        <f>D308*C308</f>
        <v>499.5</v>
      </c>
      <c r="F308" s="7" t="s">
        <v>1184</v>
      </c>
      <c r="G308" s="6" t="s">
        <v>721</v>
      </c>
      <c r="H308" s="7" t="s">
        <v>1197</v>
      </c>
      <c r="I308" s="8" t="s">
        <v>157</v>
      </c>
      <c r="J308" s="9">
        <v>6681.96</v>
      </c>
      <c r="K308" s="16">
        <v>1196</v>
      </c>
      <c r="L308" s="11">
        <f>E308</f>
        <v>499.5</v>
      </c>
      <c r="M308" s="31">
        <f>Tabela2[[#This Row],[R$TOTAL FÉRIAS FACIL ]]-Tabela2[[#This Row],[R$ PARCELADO]]</f>
        <v>696.5</v>
      </c>
      <c r="N308" s="6"/>
    </row>
    <row r="309" spans="1:14" x14ac:dyDescent="0.25">
      <c r="A309" s="6" t="s">
        <v>722</v>
      </c>
      <c r="B309" s="7">
        <f t="shared" ca="1" si="109"/>
        <v>138</v>
      </c>
      <c r="C309" s="7"/>
      <c r="D309" s="7"/>
      <c r="E309" s="7"/>
      <c r="F309" s="7" t="s">
        <v>1184</v>
      </c>
      <c r="G309" s="6" t="s">
        <v>723</v>
      </c>
      <c r="H309" s="7" t="s">
        <v>13</v>
      </c>
      <c r="I309" s="8" t="s">
        <v>59</v>
      </c>
      <c r="J309" s="9">
        <v>4611.96</v>
      </c>
      <c r="K309" s="16">
        <v>1196</v>
      </c>
      <c r="L309" s="6"/>
      <c r="M309" s="31"/>
      <c r="N309" s="11">
        <f t="shared" ref="N309:N310" si="110">K309</f>
        <v>1196</v>
      </c>
    </row>
    <row r="310" spans="1:14" x14ac:dyDescent="0.25">
      <c r="A310" s="6" t="s">
        <v>724</v>
      </c>
      <c r="B310" s="7">
        <f t="shared" ca="1" si="109"/>
        <v>150</v>
      </c>
      <c r="C310" s="7"/>
      <c r="D310" s="7"/>
      <c r="E310" s="7"/>
      <c r="F310" s="7" t="s">
        <v>1184</v>
      </c>
      <c r="G310" s="6" t="s">
        <v>725</v>
      </c>
      <c r="H310" s="7" t="s">
        <v>13</v>
      </c>
      <c r="I310" s="8" t="s">
        <v>183</v>
      </c>
      <c r="J310" s="9">
        <v>4611.96</v>
      </c>
      <c r="K310" s="16">
        <v>1196</v>
      </c>
      <c r="L310" s="6"/>
      <c r="M310" s="31"/>
      <c r="N310" s="11">
        <f t="shared" si="110"/>
        <v>1196</v>
      </c>
    </row>
    <row r="311" spans="1:14" x14ac:dyDescent="0.25">
      <c r="A311" s="6" t="s">
        <v>726</v>
      </c>
      <c r="B311" s="7">
        <f t="shared" ca="1" si="109"/>
        <v>153</v>
      </c>
      <c r="C311" s="12">
        <v>5</v>
      </c>
      <c r="D311" s="10">
        <v>99.9</v>
      </c>
      <c r="E311" s="10">
        <f>D311*C311</f>
        <v>499.5</v>
      </c>
      <c r="F311" s="7" t="s">
        <v>1184</v>
      </c>
      <c r="G311" s="6" t="s">
        <v>727</v>
      </c>
      <c r="H311" s="7" t="s">
        <v>1197</v>
      </c>
      <c r="I311" s="8" t="s">
        <v>27</v>
      </c>
      <c r="J311" s="9">
        <v>6681.96</v>
      </c>
      <c r="K311" s="16">
        <v>1196</v>
      </c>
      <c r="L311" s="11">
        <f>E311</f>
        <v>499.5</v>
      </c>
      <c r="M311" s="31">
        <f>Tabela2[[#This Row],[R$TOTAL FÉRIAS FACIL ]]-Tabela2[[#This Row],[R$ PARCELADO]]</f>
        <v>696.5</v>
      </c>
      <c r="N311" s="6"/>
    </row>
    <row r="312" spans="1:14" x14ac:dyDescent="0.25">
      <c r="A312" s="6" t="s">
        <v>728</v>
      </c>
      <c r="B312" s="7">
        <f t="shared" ca="1" si="109"/>
        <v>120</v>
      </c>
      <c r="C312" s="7"/>
      <c r="D312" s="7"/>
      <c r="E312" s="7"/>
      <c r="F312" s="7" t="s">
        <v>1184</v>
      </c>
      <c r="G312" s="6" t="s">
        <v>729</v>
      </c>
      <c r="H312" s="7" t="s">
        <v>13</v>
      </c>
      <c r="I312" s="8" t="s">
        <v>730</v>
      </c>
      <c r="J312" s="9">
        <v>4611.96</v>
      </c>
      <c r="K312" s="16">
        <v>1196</v>
      </c>
      <c r="L312" s="6"/>
      <c r="M312" s="31"/>
      <c r="N312" s="11">
        <f>K312</f>
        <v>1196</v>
      </c>
    </row>
    <row r="313" spans="1:14" x14ac:dyDescent="0.25">
      <c r="A313" s="6" t="s">
        <v>731</v>
      </c>
      <c r="B313" s="7">
        <f t="shared" ca="1" si="109"/>
        <v>156</v>
      </c>
      <c r="C313" s="12">
        <v>5</v>
      </c>
      <c r="D313" s="10">
        <v>99.9</v>
      </c>
      <c r="E313" s="10">
        <f>D313*C313</f>
        <v>499.5</v>
      </c>
      <c r="F313" s="7" t="s">
        <v>1184</v>
      </c>
      <c r="G313" s="6" t="s">
        <v>732</v>
      </c>
      <c r="H313" s="7" t="s">
        <v>1197</v>
      </c>
      <c r="I313" s="8" t="s">
        <v>41</v>
      </c>
      <c r="J313" s="9">
        <v>6681.96</v>
      </c>
      <c r="K313" s="16">
        <v>1196</v>
      </c>
      <c r="L313" s="11">
        <f>E313</f>
        <v>499.5</v>
      </c>
      <c r="M313" s="31">
        <f>Tabela2[[#This Row],[R$TOTAL FÉRIAS FACIL ]]-Tabela2[[#This Row],[R$ PARCELADO]]</f>
        <v>696.5</v>
      </c>
      <c r="N313" s="6"/>
    </row>
    <row r="314" spans="1:14" x14ac:dyDescent="0.25">
      <c r="A314" s="6" t="s">
        <v>733</v>
      </c>
      <c r="B314" s="7">
        <f t="shared" ca="1" si="109"/>
        <v>153</v>
      </c>
      <c r="C314" s="7"/>
      <c r="D314" s="7"/>
      <c r="E314" s="7"/>
      <c r="F314" s="7" t="s">
        <v>1184</v>
      </c>
      <c r="G314" s="6" t="s">
        <v>734</v>
      </c>
      <c r="H314" s="7" t="s">
        <v>13</v>
      </c>
      <c r="I314" s="8" t="s">
        <v>27</v>
      </c>
      <c r="J314" s="9">
        <v>4611.96</v>
      </c>
      <c r="K314" s="16">
        <v>1196</v>
      </c>
      <c r="L314" s="6"/>
      <c r="M314" s="31"/>
      <c r="N314" s="11">
        <f>K314</f>
        <v>1196</v>
      </c>
    </row>
    <row r="315" spans="1:14" x14ac:dyDescent="0.25">
      <c r="A315" s="6" t="s">
        <v>735</v>
      </c>
      <c r="B315" s="7">
        <f t="shared" ca="1" si="109"/>
        <v>153</v>
      </c>
      <c r="C315" s="12">
        <v>5</v>
      </c>
      <c r="D315" s="10">
        <v>99.9</v>
      </c>
      <c r="E315" s="10">
        <f t="shared" ref="E315:E316" si="111">D315*C315</f>
        <v>499.5</v>
      </c>
      <c r="F315" s="7" t="s">
        <v>1184</v>
      </c>
      <c r="G315" s="6" t="s">
        <v>736</v>
      </c>
      <c r="H315" s="7" t="s">
        <v>1197</v>
      </c>
      <c r="I315" s="8" t="s">
        <v>27</v>
      </c>
      <c r="J315" s="9">
        <v>6681.96</v>
      </c>
      <c r="K315" s="16">
        <v>1196</v>
      </c>
      <c r="L315" s="11">
        <f t="shared" ref="L315:L316" si="112">E315</f>
        <v>499.5</v>
      </c>
      <c r="M315" s="31">
        <f>Tabela2[[#This Row],[R$TOTAL FÉRIAS FACIL ]]-Tabela2[[#This Row],[R$ PARCELADO]]</f>
        <v>696.5</v>
      </c>
      <c r="N315" s="6"/>
    </row>
    <row r="316" spans="1:14" x14ac:dyDescent="0.25">
      <c r="A316" s="6" t="s">
        <v>737</v>
      </c>
      <c r="B316" s="7">
        <f t="shared" ca="1" si="109"/>
        <v>146</v>
      </c>
      <c r="C316" s="12">
        <v>5</v>
      </c>
      <c r="D316" s="10">
        <v>99.9</v>
      </c>
      <c r="E316" s="10">
        <f t="shared" si="111"/>
        <v>499.5</v>
      </c>
      <c r="F316" s="7" t="s">
        <v>1184</v>
      </c>
      <c r="G316" s="6" t="s">
        <v>738</v>
      </c>
      <c r="H316" s="7" t="s">
        <v>1197</v>
      </c>
      <c r="I316" s="8" t="s">
        <v>287</v>
      </c>
      <c r="J316" s="9">
        <v>6681.96</v>
      </c>
      <c r="K316" s="16">
        <v>1196</v>
      </c>
      <c r="L316" s="11">
        <f t="shared" si="112"/>
        <v>499.5</v>
      </c>
      <c r="M316" s="31">
        <f>Tabela2[[#This Row],[R$TOTAL FÉRIAS FACIL ]]-Tabela2[[#This Row],[R$ PARCELADO]]</f>
        <v>696.5</v>
      </c>
      <c r="N316" s="6"/>
    </row>
    <row r="317" spans="1:14" x14ac:dyDescent="0.25">
      <c r="A317" s="6" t="s">
        <v>739</v>
      </c>
      <c r="B317" s="7">
        <f t="shared" ca="1" si="109"/>
        <v>151</v>
      </c>
      <c r="C317" s="7"/>
      <c r="D317" s="7"/>
      <c r="E317" s="7"/>
      <c r="F317" s="7" t="s">
        <v>1184</v>
      </c>
      <c r="G317" s="6" t="s">
        <v>740</v>
      </c>
      <c r="H317" s="7" t="s">
        <v>13</v>
      </c>
      <c r="I317" s="8" t="s">
        <v>198</v>
      </c>
      <c r="J317" s="9">
        <v>4611.96</v>
      </c>
      <c r="K317" s="16">
        <v>1196</v>
      </c>
      <c r="L317" s="6"/>
      <c r="M317" s="31"/>
      <c r="N317" s="11">
        <f>K317</f>
        <v>1196</v>
      </c>
    </row>
    <row r="318" spans="1:14" x14ac:dyDescent="0.25">
      <c r="A318" s="6" t="s">
        <v>741</v>
      </c>
      <c r="B318" s="7">
        <f t="shared" ca="1" si="109"/>
        <v>151</v>
      </c>
      <c r="C318" s="12">
        <v>5</v>
      </c>
      <c r="D318" s="10">
        <v>99.9</v>
      </c>
      <c r="E318" s="10">
        <f t="shared" ref="E318:E320" si="113">D318*C318</f>
        <v>499.5</v>
      </c>
      <c r="F318" s="7" t="s">
        <v>1184</v>
      </c>
      <c r="G318" s="6" t="s">
        <v>742</v>
      </c>
      <c r="H318" s="7" t="s">
        <v>1197</v>
      </c>
      <c r="I318" s="8" t="s">
        <v>198</v>
      </c>
      <c r="J318" s="9">
        <v>6681.96</v>
      </c>
      <c r="K318" s="16">
        <v>1196</v>
      </c>
      <c r="L318" s="11">
        <f t="shared" ref="L318:L320" si="114">E318</f>
        <v>499.5</v>
      </c>
      <c r="M318" s="31">
        <f>Tabela2[[#This Row],[R$TOTAL FÉRIAS FACIL ]]-Tabela2[[#This Row],[R$ PARCELADO]]</f>
        <v>696.5</v>
      </c>
      <c r="N318" s="6"/>
    </row>
    <row r="319" spans="1:14" x14ac:dyDescent="0.25">
      <c r="A319" s="6" t="s">
        <v>743</v>
      </c>
      <c r="B319" s="7">
        <f t="shared" ca="1" si="109"/>
        <v>152</v>
      </c>
      <c r="C319" s="12">
        <v>5</v>
      </c>
      <c r="D319" s="10">
        <v>99.9</v>
      </c>
      <c r="E319" s="10">
        <f t="shared" si="113"/>
        <v>499.5</v>
      </c>
      <c r="F319" s="7" t="s">
        <v>1184</v>
      </c>
      <c r="G319" s="6" t="s">
        <v>744</v>
      </c>
      <c r="H319" s="7" t="s">
        <v>1197</v>
      </c>
      <c r="I319" s="8" t="s">
        <v>45</v>
      </c>
      <c r="J319" s="9">
        <v>6681.96</v>
      </c>
      <c r="K319" s="16">
        <v>1196</v>
      </c>
      <c r="L319" s="11">
        <f t="shared" si="114"/>
        <v>499.5</v>
      </c>
      <c r="M319" s="31">
        <f>Tabela2[[#This Row],[R$TOTAL FÉRIAS FACIL ]]-Tabela2[[#This Row],[R$ PARCELADO]]</f>
        <v>696.5</v>
      </c>
      <c r="N319" s="6"/>
    </row>
    <row r="320" spans="1:14" x14ac:dyDescent="0.25">
      <c r="A320" s="6" t="s">
        <v>745</v>
      </c>
      <c r="B320" s="7">
        <f t="shared" ca="1" si="109"/>
        <v>151</v>
      </c>
      <c r="C320" s="12">
        <v>5</v>
      </c>
      <c r="D320" s="10">
        <v>99.9</v>
      </c>
      <c r="E320" s="10">
        <f t="shared" si="113"/>
        <v>499.5</v>
      </c>
      <c r="F320" s="7" t="s">
        <v>1184</v>
      </c>
      <c r="G320" s="6" t="s">
        <v>746</v>
      </c>
      <c r="H320" s="7" t="s">
        <v>1197</v>
      </c>
      <c r="I320" s="8" t="s">
        <v>198</v>
      </c>
      <c r="J320" s="9">
        <v>7881.96</v>
      </c>
      <c r="K320" s="16">
        <v>1196</v>
      </c>
      <c r="L320" s="11">
        <f t="shared" si="114"/>
        <v>499.5</v>
      </c>
      <c r="M320" s="31">
        <f>Tabela2[[#This Row],[R$TOTAL FÉRIAS FACIL ]]-Tabela2[[#This Row],[R$ PARCELADO]]</f>
        <v>696.5</v>
      </c>
      <c r="N320" s="6"/>
    </row>
    <row r="321" spans="1:14" x14ac:dyDescent="0.25">
      <c r="A321" s="6" t="s">
        <v>747</v>
      </c>
      <c r="B321" s="7">
        <f t="shared" ca="1" si="109"/>
        <v>147</v>
      </c>
      <c r="C321" s="7"/>
      <c r="D321" s="7"/>
      <c r="E321" s="7"/>
      <c r="F321" s="7" t="s">
        <v>1184</v>
      </c>
      <c r="G321" s="6" t="s">
        <v>748</v>
      </c>
      <c r="H321" s="7" t="s">
        <v>13</v>
      </c>
      <c r="I321" s="8" t="s">
        <v>284</v>
      </c>
      <c r="J321" s="9">
        <v>4611.96</v>
      </c>
      <c r="K321" s="16">
        <v>1196</v>
      </c>
      <c r="L321" s="6"/>
      <c r="M321" s="31"/>
      <c r="N321" s="11">
        <f>K321</f>
        <v>1196</v>
      </c>
    </row>
    <row r="322" spans="1:14" x14ac:dyDescent="0.25">
      <c r="A322" s="6" t="s">
        <v>749</v>
      </c>
      <c r="B322" s="7">
        <f t="shared" ca="1" si="109"/>
        <v>153</v>
      </c>
      <c r="C322" s="12">
        <v>5</v>
      </c>
      <c r="D322" s="10">
        <v>99.9</v>
      </c>
      <c r="E322" s="10">
        <f t="shared" ref="E322:E326" si="115">D322*C322</f>
        <v>499.5</v>
      </c>
      <c r="F322" s="7" t="s">
        <v>1184</v>
      </c>
      <c r="G322" s="6" t="s">
        <v>750</v>
      </c>
      <c r="H322" s="7" t="s">
        <v>1197</v>
      </c>
      <c r="I322" s="8" t="s">
        <v>27</v>
      </c>
      <c r="J322" s="9">
        <v>6681.96</v>
      </c>
      <c r="K322" s="16">
        <v>1196</v>
      </c>
      <c r="L322" s="11">
        <f t="shared" ref="L322:L326" si="116">E322</f>
        <v>499.5</v>
      </c>
      <c r="M322" s="31">
        <f>Tabela2[[#This Row],[R$TOTAL FÉRIAS FACIL ]]-Tabela2[[#This Row],[R$ PARCELADO]]</f>
        <v>696.5</v>
      </c>
      <c r="N322" s="6"/>
    </row>
    <row r="323" spans="1:14" x14ac:dyDescent="0.25">
      <c r="A323" s="6" t="s">
        <v>751</v>
      </c>
      <c r="B323" s="7">
        <f t="shared" ca="1" si="109"/>
        <v>150</v>
      </c>
      <c r="C323" s="12">
        <v>5</v>
      </c>
      <c r="D323" s="10">
        <v>99.9</v>
      </c>
      <c r="E323" s="10">
        <f t="shared" si="115"/>
        <v>499.5</v>
      </c>
      <c r="F323" s="7" t="s">
        <v>1184</v>
      </c>
      <c r="G323" s="6" t="s">
        <v>752</v>
      </c>
      <c r="H323" s="7" t="s">
        <v>1197</v>
      </c>
      <c r="I323" s="8" t="s">
        <v>183</v>
      </c>
      <c r="J323" s="9">
        <v>6681.96</v>
      </c>
      <c r="K323" s="16">
        <v>1196</v>
      </c>
      <c r="L323" s="11">
        <f t="shared" si="116"/>
        <v>499.5</v>
      </c>
      <c r="M323" s="31">
        <f>Tabela2[[#This Row],[R$TOTAL FÉRIAS FACIL ]]-Tabela2[[#This Row],[R$ PARCELADO]]</f>
        <v>696.5</v>
      </c>
      <c r="N323" s="6"/>
    </row>
    <row r="324" spans="1:14" x14ac:dyDescent="0.25">
      <c r="A324" s="6" t="s">
        <v>753</v>
      </c>
      <c r="B324" s="7">
        <f t="shared" ca="1" si="109"/>
        <v>149</v>
      </c>
      <c r="C324" s="12">
        <v>5</v>
      </c>
      <c r="D324" s="10">
        <v>99.9</v>
      </c>
      <c r="E324" s="10">
        <f t="shared" si="115"/>
        <v>499.5</v>
      </c>
      <c r="F324" s="7" t="s">
        <v>1184</v>
      </c>
      <c r="G324" s="6" t="s">
        <v>754</v>
      </c>
      <c r="H324" s="7" t="s">
        <v>1197</v>
      </c>
      <c r="I324" s="8" t="s">
        <v>157</v>
      </c>
      <c r="J324" s="9">
        <v>6681.96</v>
      </c>
      <c r="K324" s="16">
        <v>1196</v>
      </c>
      <c r="L324" s="11">
        <f t="shared" si="116"/>
        <v>499.5</v>
      </c>
      <c r="M324" s="31">
        <f>Tabela2[[#This Row],[R$TOTAL FÉRIAS FACIL ]]-Tabela2[[#This Row],[R$ PARCELADO]]</f>
        <v>696.5</v>
      </c>
      <c r="N324" s="6"/>
    </row>
    <row r="325" spans="1:14" x14ac:dyDescent="0.25">
      <c r="A325" s="6" t="s">
        <v>755</v>
      </c>
      <c r="B325" s="7">
        <f t="shared" ca="1" si="109"/>
        <v>151</v>
      </c>
      <c r="C325" s="12">
        <v>5</v>
      </c>
      <c r="D325" s="10">
        <v>99.9</v>
      </c>
      <c r="E325" s="10">
        <f t="shared" si="115"/>
        <v>499.5</v>
      </c>
      <c r="F325" s="7" t="s">
        <v>1184</v>
      </c>
      <c r="G325" s="6" t="s">
        <v>756</v>
      </c>
      <c r="H325" s="7" t="s">
        <v>1197</v>
      </c>
      <c r="I325" s="8" t="s">
        <v>198</v>
      </c>
      <c r="J325" s="9">
        <v>6681.96</v>
      </c>
      <c r="K325" s="16">
        <v>1196</v>
      </c>
      <c r="L325" s="11">
        <f t="shared" si="116"/>
        <v>499.5</v>
      </c>
      <c r="M325" s="31">
        <f>Tabela2[[#This Row],[R$TOTAL FÉRIAS FACIL ]]-Tabela2[[#This Row],[R$ PARCELADO]]</f>
        <v>696.5</v>
      </c>
      <c r="N325" s="6"/>
    </row>
    <row r="326" spans="1:14" x14ac:dyDescent="0.25">
      <c r="A326" s="6" t="s">
        <v>757</v>
      </c>
      <c r="B326" s="7">
        <f t="shared" ca="1" si="109"/>
        <v>139</v>
      </c>
      <c r="C326" s="12">
        <v>5</v>
      </c>
      <c r="D326" s="10">
        <v>99.9</v>
      </c>
      <c r="E326" s="10">
        <f t="shared" si="115"/>
        <v>499.5</v>
      </c>
      <c r="F326" s="7" t="s">
        <v>1184</v>
      </c>
      <c r="G326" s="6" t="s">
        <v>758</v>
      </c>
      <c r="H326" s="7" t="s">
        <v>1197</v>
      </c>
      <c r="I326" s="8" t="s">
        <v>61</v>
      </c>
      <c r="J326" s="9">
        <v>6681.96</v>
      </c>
      <c r="K326" s="16">
        <v>1196</v>
      </c>
      <c r="L326" s="11">
        <f t="shared" si="116"/>
        <v>499.5</v>
      </c>
      <c r="M326" s="31">
        <f>Tabela2[[#This Row],[R$TOTAL FÉRIAS FACIL ]]-Tabela2[[#This Row],[R$ PARCELADO]]</f>
        <v>696.5</v>
      </c>
      <c r="N326" s="6"/>
    </row>
    <row r="327" spans="1:14" x14ac:dyDescent="0.25">
      <c r="A327" s="6" t="s">
        <v>759</v>
      </c>
      <c r="B327" s="7">
        <f t="shared" ca="1" si="109"/>
        <v>149</v>
      </c>
      <c r="C327" s="7"/>
      <c r="D327" s="7"/>
      <c r="E327" s="7"/>
      <c r="F327" s="7" t="s">
        <v>1184</v>
      </c>
      <c r="G327" s="6" t="s">
        <v>760</v>
      </c>
      <c r="H327" s="7" t="s">
        <v>13</v>
      </c>
      <c r="I327" s="8" t="s">
        <v>157</v>
      </c>
      <c r="J327" s="9">
        <v>4188</v>
      </c>
      <c r="K327" s="16">
        <v>1196</v>
      </c>
      <c r="L327" s="6"/>
      <c r="M327" s="31"/>
      <c r="N327" s="11">
        <f t="shared" ref="N327:N328" si="117">K327</f>
        <v>1196</v>
      </c>
    </row>
    <row r="328" spans="1:14" x14ac:dyDescent="0.25">
      <c r="A328" s="6" t="s">
        <v>761</v>
      </c>
      <c r="B328" s="7">
        <f t="shared" ca="1" si="109"/>
        <v>145</v>
      </c>
      <c r="C328" s="7"/>
      <c r="D328" s="7"/>
      <c r="E328" s="7"/>
      <c r="F328" s="7" t="s">
        <v>1184</v>
      </c>
      <c r="G328" s="6" t="s">
        <v>762</v>
      </c>
      <c r="H328" s="7" t="s">
        <v>13</v>
      </c>
      <c r="I328" s="8" t="s">
        <v>286</v>
      </c>
      <c r="J328" s="9">
        <v>4611.96</v>
      </c>
      <c r="K328" s="16">
        <v>1196</v>
      </c>
      <c r="L328" s="6"/>
      <c r="M328" s="31"/>
      <c r="N328" s="11">
        <f t="shared" si="117"/>
        <v>1196</v>
      </c>
    </row>
    <row r="329" spans="1:14" x14ac:dyDescent="0.25">
      <c r="A329" s="6" t="s">
        <v>763</v>
      </c>
      <c r="B329" s="7">
        <f t="shared" ca="1" si="109"/>
        <v>139</v>
      </c>
      <c r="C329" s="12">
        <v>5</v>
      </c>
      <c r="D329" s="10">
        <v>99.9</v>
      </c>
      <c r="E329" s="10">
        <f t="shared" ref="E329:E330" si="118">D329*C329</f>
        <v>499.5</v>
      </c>
      <c r="F329" s="7" t="s">
        <v>1184</v>
      </c>
      <c r="G329" s="6" t="s">
        <v>764</v>
      </c>
      <c r="H329" s="7" t="s">
        <v>1197</v>
      </c>
      <c r="I329" s="8" t="s">
        <v>61</v>
      </c>
      <c r="J329" s="9">
        <v>6681.96</v>
      </c>
      <c r="K329" s="16">
        <v>1196</v>
      </c>
      <c r="L329" s="11">
        <f t="shared" ref="L329:L330" si="119">E329</f>
        <v>499.5</v>
      </c>
      <c r="M329" s="31">
        <f>Tabela2[[#This Row],[R$TOTAL FÉRIAS FACIL ]]-Tabela2[[#This Row],[R$ PARCELADO]]</f>
        <v>696.5</v>
      </c>
      <c r="N329" s="6"/>
    </row>
    <row r="330" spans="1:14" x14ac:dyDescent="0.25">
      <c r="A330" s="6" t="s">
        <v>765</v>
      </c>
      <c r="B330" s="7">
        <f t="shared" ca="1" si="109"/>
        <v>150</v>
      </c>
      <c r="C330" s="12">
        <v>5</v>
      </c>
      <c r="D330" s="10">
        <v>99.9</v>
      </c>
      <c r="E330" s="10">
        <f t="shared" si="118"/>
        <v>499.5</v>
      </c>
      <c r="F330" s="7" t="s">
        <v>1184</v>
      </c>
      <c r="G330" s="6" t="s">
        <v>766</v>
      </c>
      <c r="H330" s="7" t="s">
        <v>1197</v>
      </c>
      <c r="I330" s="8" t="s">
        <v>183</v>
      </c>
      <c r="J330" s="9">
        <v>6681.96</v>
      </c>
      <c r="K330" s="16">
        <v>1196</v>
      </c>
      <c r="L330" s="11">
        <f t="shared" si="119"/>
        <v>499.5</v>
      </c>
      <c r="M330" s="31">
        <f>Tabela2[[#This Row],[R$TOTAL FÉRIAS FACIL ]]-Tabela2[[#This Row],[R$ PARCELADO]]</f>
        <v>696.5</v>
      </c>
      <c r="N330" s="6"/>
    </row>
    <row r="331" spans="1:14" x14ac:dyDescent="0.25">
      <c r="A331" s="6" t="s">
        <v>767</v>
      </c>
      <c r="B331" s="7">
        <f t="shared" ca="1" si="109"/>
        <v>147</v>
      </c>
      <c r="C331" s="7"/>
      <c r="D331" s="7"/>
      <c r="E331" s="7"/>
      <c r="F331" s="7" t="s">
        <v>1184</v>
      </c>
      <c r="G331" s="6" t="s">
        <v>768</v>
      </c>
      <c r="H331" s="7" t="s">
        <v>13</v>
      </c>
      <c r="I331" s="8" t="s">
        <v>284</v>
      </c>
      <c r="J331" s="9">
        <v>4611.96</v>
      </c>
      <c r="K331" s="16">
        <v>1196</v>
      </c>
      <c r="L331" s="6"/>
      <c r="M331" s="31"/>
      <c r="N331" s="11">
        <f>K331</f>
        <v>1196</v>
      </c>
    </row>
    <row r="332" spans="1:14" x14ac:dyDescent="0.25">
      <c r="A332" s="6" t="s">
        <v>769</v>
      </c>
      <c r="B332" s="7">
        <f t="shared" ca="1" si="109"/>
        <v>151</v>
      </c>
      <c r="C332" s="12">
        <v>5</v>
      </c>
      <c r="D332" s="10">
        <v>99.9</v>
      </c>
      <c r="E332" s="10">
        <f t="shared" ref="E332:E339" si="120">D332*C332</f>
        <v>499.5</v>
      </c>
      <c r="F332" s="7" t="s">
        <v>1184</v>
      </c>
      <c r="G332" s="6" t="s">
        <v>770</v>
      </c>
      <c r="H332" s="7" t="s">
        <v>1197</v>
      </c>
      <c r="I332" s="8" t="s">
        <v>198</v>
      </c>
      <c r="J332" s="9">
        <v>7581.96</v>
      </c>
      <c r="K332" s="16">
        <v>1196</v>
      </c>
      <c r="L332" s="11">
        <f t="shared" ref="L332:L339" si="121">E332</f>
        <v>499.5</v>
      </c>
      <c r="M332" s="31">
        <f>Tabela2[[#This Row],[R$TOTAL FÉRIAS FACIL ]]-Tabela2[[#This Row],[R$ PARCELADO]]</f>
        <v>696.5</v>
      </c>
      <c r="N332" s="6"/>
    </row>
    <row r="333" spans="1:14" x14ac:dyDescent="0.25">
      <c r="A333" s="6" t="s">
        <v>771</v>
      </c>
      <c r="B333" s="7">
        <f t="shared" ca="1" si="109"/>
        <v>148</v>
      </c>
      <c r="C333" s="12">
        <v>5</v>
      </c>
      <c r="D333" s="10">
        <v>99.9</v>
      </c>
      <c r="E333" s="10">
        <f t="shared" si="120"/>
        <v>499.5</v>
      </c>
      <c r="F333" s="7" t="s">
        <v>1184</v>
      </c>
      <c r="G333" s="6" t="s">
        <v>772</v>
      </c>
      <c r="H333" s="7" t="s">
        <v>1197</v>
      </c>
      <c r="I333" s="8" t="s">
        <v>254</v>
      </c>
      <c r="J333" s="9">
        <v>6681.96</v>
      </c>
      <c r="K333" s="16">
        <v>1196</v>
      </c>
      <c r="L333" s="11">
        <f t="shared" si="121"/>
        <v>499.5</v>
      </c>
      <c r="M333" s="31">
        <f>Tabela2[[#This Row],[R$TOTAL FÉRIAS FACIL ]]-Tabela2[[#This Row],[R$ PARCELADO]]</f>
        <v>696.5</v>
      </c>
      <c r="N333" s="6"/>
    </row>
    <row r="334" spans="1:14" x14ac:dyDescent="0.25">
      <c r="A334" s="6" t="s">
        <v>773</v>
      </c>
      <c r="B334" s="7">
        <f t="shared" ca="1" si="109"/>
        <v>139</v>
      </c>
      <c r="C334" s="12">
        <v>5</v>
      </c>
      <c r="D334" s="10">
        <v>99.9</v>
      </c>
      <c r="E334" s="10">
        <f t="shared" si="120"/>
        <v>499.5</v>
      </c>
      <c r="F334" s="7" t="s">
        <v>1184</v>
      </c>
      <c r="G334" s="6" t="s">
        <v>774</v>
      </c>
      <c r="H334" s="7" t="s">
        <v>1197</v>
      </c>
      <c r="I334" s="8" t="s">
        <v>61</v>
      </c>
      <c r="J334" s="9">
        <v>6681.96</v>
      </c>
      <c r="K334" s="16">
        <v>1196</v>
      </c>
      <c r="L334" s="11">
        <f t="shared" si="121"/>
        <v>499.5</v>
      </c>
      <c r="M334" s="31">
        <f>Tabela2[[#This Row],[R$TOTAL FÉRIAS FACIL ]]-Tabela2[[#This Row],[R$ PARCELADO]]</f>
        <v>696.5</v>
      </c>
      <c r="N334" s="6"/>
    </row>
    <row r="335" spans="1:14" x14ac:dyDescent="0.25">
      <c r="A335" s="6" t="s">
        <v>775</v>
      </c>
      <c r="B335" s="7">
        <f t="shared" ca="1" si="109"/>
        <v>152</v>
      </c>
      <c r="C335" s="12">
        <v>5</v>
      </c>
      <c r="D335" s="10">
        <v>99.9</v>
      </c>
      <c r="E335" s="10">
        <f t="shared" si="120"/>
        <v>499.5</v>
      </c>
      <c r="F335" s="7" t="s">
        <v>1184</v>
      </c>
      <c r="G335" s="6" t="s">
        <v>776</v>
      </c>
      <c r="H335" s="7" t="s">
        <v>1197</v>
      </c>
      <c r="I335" s="8" t="s">
        <v>45</v>
      </c>
      <c r="J335" s="9">
        <v>6681.96</v>
      </c>
      <c r="K335" s="16">
        <v>1196</v>
      </c>
      <c r="L335" s="11">
        <f t="shared" si="121"/>
        <v>499.5</v>
      </c>
      <c r="M335" s="31">
        <f>Tabela2[[#This Row],[R$TOTAL FÉRIAS FACIL ]]-Tabela2[[#This Row],[R$ PARCELADO]]</f>
        <v>696.5</v>
      </c>
      <c r="N335" s="6"/>
    </row>
    <row r="336" spans="1:14" x14ac:dyDescent="0.25">
      <c r="A336" s="6" t="s">
        <v>777</v>
      </c>
      <c r="B336" s="7">
        <f t="shared" ca="1" si="109"/>
        <v>142</v>
      </c>
      <c r="C336" s="12">
        <v>5</v>
      </c>
      <c r="D336" s="10">
        <v>99.9</v>
      </c>
      <c r="E336" s="10">
        <f t="shared" si="120"/>
        <v>499.5</v>
      </c>
      <c r="F336" s="7" t="s">
        <v>1184</v>
      </c>
      <c r="G336" s="6" t="s">
        <v>778</v>
      </c>
      <c r="H336" s="7" t="s">
        <v>1197</v>
      </c>
      <c r="I336" s="8" t="s">
        <v>204</v>
      </c>
      <c r="J336" s="9">
        <v>6681.96</v>
      </c>
      <c r="K336" s="16">
        <v>1196</v>
      </c>
      <c r="L336" s="11">
        <f t="shared" si="121"/>
        <v>499.5</v>
      </c>
      <c r="M336" s="31">
        <f>Tabela2[[#This Row],[R$TOTAL FÉRIAS FACIL ]]-Tabela2[[#This Row],[R$ PARCELADO]]</f>
        <v>696.5</v>
      </c>
      <c r="N336" s="6"/>
    </row>
    <row r="337" spans="1:14" x14ac:dyDescent="0.25">
      <c r="A337" s="6" t="s">
        <v>779</v>
      </c>
      <c r="B337" s="7">
        <f t="shared" ca="1" si="109"/>
        <v>139</v>
      </c>
      <c r="C337" s="12">
        <v>5</v>
      </c>
      <c r="D337" s="10">
        <v>99.9</v>
      </c>
      <c r="E337" s="10">
        <f t="shared" si="120"/>
        <v>499.5</v>
      </c>
      <c r="F337" s="7" t="s">
        <v>1184</v>
      </c>
      <c r="G337" s="6" t="s">
        <v>780</v>
      </c>
      <c r="H337" s="7" t="s">
        <v>1197</v>
      </c>
      <c r="I337" s="8" t="s">
        <v>61</v>
      </c>
      <c r="J337" s="9">
        <v>6681.96</v>
      </c>
      <c r="K337" s="16">
        <v>1196</v>
      </c>
      <c r="L337" s="11">
        <f t="shared" si="121"/>
        <v>499.5</v>
      </c>
      <c r="M337" s="31">
        <f>Tabela2[[#This Row],[R$TOTAL FÉRIAS FACIL ]]-Tabela2[[#This Row],[R$ PARCELADO]]</f>
        <v>696.5</v>
      </c>
      <c r="N337" s="6"/>
    </row>
    <row r="338" spans="1:14" x14ac:dyDescent="0.25">
      <c r="A338" s="6" t="s">
        <v>781</v>
      </c>
      <c r="B338" s="7">
        <f t="shared" ca="1" si="109"/>
        <v>136</v>
      </c>
      <c r="C338" s="12">
        <v>5</v>
      </c>
      <c r="D338" s="10">
        <v>99.9</v>
      </c>
      <c r="E338" s="10">
        <f t="shared" si="120"/>
        <v>499.5</v>
      </c>
      <c r="F338" s="7" t="s">
        <v>1184</v>
      </c>
      <c r="G338" s="6" t="s">
        <v>782</v>
      </c>
      <c r="H338" s="7" t="s">
        <v>1197</v>
      </c>
      <c r="I338" s="8" t="s">
        <v>342</v>
      </c>
      <c r="J338" s="9">
        <v>6681.96</v>
      </c>
      <c r="K338" s="16">
        <v>1196</v>
      </c>
      <c r="L338" s="11">
        <f t="shared" si="121"/>
        <v>499.5</v>
      </c>
      <c r="M338" s="31">
        <f>Tabela2[[#This Row],[R$TOTAL FÉRIAS FACIL ]]-Tabela2[[#This Row],[R$ PARCELADO]]</f>
        <v>696.5</v>
      </c>
      <c r="N338" s="6"/>
    </row>
    <row r="339" spans="1:14" x14ac:dyDescent="0.25">
      <c r="A339" s="6" t="s">
        <v>783</v>
      </c>
      <c r="B339" s="7">
        <f t="shared" ca="1" si="109"/>
        <v>143</v>
      </c>
      <c r="C339" s="12">
        <v>5</v>
      </c>
      <c r="D339" s="10">
        <v>99.9</v>
      </c>
      <c r="E339" s="10">
        <f t="shared" si="120"/>
        <v>499.5</v>
      </c>
      <c r="F339" s="7" t="s">
        <v>1184</v>
      </c>
      <c r="G339" s="6" t="s">
        <v>784</v>
      </c>
      <c r="H339" s="7" t="s">
        <v>1197</v>
      </c>
      <c r="I339" s="8" t="s">
        <v>210</v>
      </c>
      <c r="J339" s="9">
        <v>6681.96</v>
      </c>
      <c r="K339" s="16">
        <v>1196</v>
      </c>
      <c r="L339" s="11">
        <f t="shared" si="121"/>
        <v>499.5</v>
      </c>
      <c r="M339" s="31">
        <f>Tabela2[[#This Row],[R$TOTAL FÉRIAS FACIL ]]-Tabela2[[#This Row],[R$ PARCELADO]]</f>
        <v>696.5</v>
      </c>
      <c r="N339" s="6"/>
    </row>
    <row r="340" spans="1:14" x14ac:dyDescent="0.25">
      <c r="A340" s="6" t="s">
        <v>785</v>
      </c>
      <c r="B340" s="7">
        <f t="shared" ca="1" si="109"/>
        <v>129</v>
      </c>
      <c r="C340" s="7"/>
      <c r="D340" s="7"/>
      <c r="E340" s="7"/>
      <c r="F340" s="7" t="s">
        <v>1184</v>
      </c>
      <c r="G340" s="6" t="s">
        <v>786</v>
      </c>
      <c r="H340" s="7" t="s">
        <v>13</v>
      </c>
      <c r="I340" s="8" t="s">
        <v>293</v>
      </c>
      <c r="J340" s="9">
        <v>4611.96</v>
      </c>
      <c r="K340" s="16">
        <v>1196</v>
      </c>
      <c r="L340" s="6"/>
      <c r="M340" s="31"/>
      <c r="N340" s="11">
        <f>K340</f>
        <v>1196</v>
      </c>
    </row>
    <row r="341" spans="1:14" x14ac:dyDescent="0.25">
      <c r="A341" s="6" t="s">
        <v>787</v>
      </c>
      <c r="B341" s="7">
        <f t="shared" ca="1" si="109"/>
        <v>115</v>
      </c>
      <c r="C341" s="12">
        <v>4</v>
      </c>
      <c r="D341" s="10">
        <v>99.9</v>
      </c>
      <c r="E341" s="10">
        <f>D341*C341</f>
        <v>399.6</v>
      </c>
      <c r="F341" s="7" t="s">
        <v>1184</v>
      </c>
      <c r="G341" s="6" t="s">
        <v>788</v>
      </c>
      <c r="H341" s="7" t="s">
        <v>1197</v>
      </c>
      <c r="I341" s="8" t="s">
        <v>273</v>
      </c>
      <c r="J341" s="9">
        <v>6681.96</v>
      </c>
      <c r="K341" s="16">
        <v>1196</v>
      </c>
      <c r="L341" s="11">
        <f>E341</f>
        <v>399.6</v>
      </c>
      <c r="M341" s="31">
        <f>Tabela2[[#This Row],[R$TOTAL FÉRIAS FACIL ]]-Tabela2[[#This Row],[R$ PARCELADO]]</f>
        <v>796.4</v>
      </c>
      <c r="N341" s="6"/>
    </row>
    <row r="342" spans="1:14" x14ac:dyDescent="0.25">
      <c r="A342" s="6" t="s">
        <v>789</v>
      </c>
      <c r="B342" s="6"/>
      <c r="C342" s="6"/>
      <c r="D342" s="6"/>
      <c r="E342" s="6"/>
      <c r="F342" s="7" t="s">
        <v>1184</v>
      </c>
      <c r="G342" s="6" t="s">
        <v>790</v>
      </c>
      <c r="H342" s="7" t="s">
        <v>13</v>
      </c>
      <c r="I342" s="8" t="s">
        <v>791</v>
      </c>
      <c r="J342" s="9">
        <v>6681.96</v>
      </c>
      <c r="K342" s="16">
        <v>1196</v>
      </c>
      <c r="L342" s="6"/>
      <c r="M342" s="31"/>
      <c r="N342" s="11">
        <f>K342</f>
        <v>1196</v>
      </c>
    </row>
    <row r="343" spans="1:14" x14ac:dyDescent="0.25">
      <c r="A343" s="6" t="s">
        <v>792</v>
      </c>
      <c r="B343" s="7">
        <f t="shared" ref="B343:B389" ca="1" si="122">$I$1-I343</f>
        <v>115</v>
      </c>
      <c r="C343" s="12">
        <v>4</v>
      </c>
      <c r="D343" s="10">
        <v>99.9</v>
      </c>
      <c r="E343" s="10">
        <f t="shared" ref="E343:E347" si="123">D343*C343</f>
        <v>399.6</v>
      </c>
      <c r="F343" s="7" t="s">
        <v>1184</v>
      </c>
      <c r="G343" s="6" t="s">
        <v>793</v>
      </c>
      <c r="H343" s="7" t="s">
        <v>1197</v>
      </c>
      <c r="I343" s="8" t="s">
        <v>273</v>
      </c>
      <c r="J343" s="9">
        <v>6681.96</v>
      </c>
      <c r="K343" s="16">
        <v>1196</v>
      </c>
      <c r="L343" s="11">
        <f t="shared" ref="L343:L347" si="124">E343</f>
        <v>399.6</v>
      </c>
      <c r="M343" s="31">
        <f>Tabela2[[#This Row],[R$TOTAL FÉRIAS FACIL ]]-Tabela2[[#This Row],[R$ PARCELADO]]</f>
        <v>796.4</v>
      </c>
      <c r="N343" s="6"/>
    </row>
    <row r="344" spans="1:14" x14ac:dyDescent="0.25">
      <c r="A344" s="6" t="s">
        <v>794</v>
      </c>
      <c r="B344" s="7">
        <f t="shared" ca="1" si="122"/>
        <v>139</v>
      </c>
      <c r="C344" s="12">
        <v>5</v>
      </c>
      <c r="D344" s="10">
        <v>99.9</v>
      </c>
      <c r="E344" s="10">
        <f t="shared" si="123"/>
        <v>499.5</v>
      </c>
      <c r="F344" s="7" t="s">
        <v>1184</v>
      </c>
      <c r="G344" s="6" t="s">
        <v>795</v>
      </c>
      <c r="H344" s="7" t="s">
        <v>1197</v>
      </c>
      <c r="I344" s="8" t="s">
        <v>61</v>
      </c>
      <c r="J344" s="9">
        <v>4188</v>
      </c>
      <c r="K344" s="16">
        <v>1196</v>
      </c>
      <c r="L344" s="11">
        <f t="shared" si="124"/>
        <v>499.5</v>
      </c>
      <c r="M344" s="31">
        <f>Tabela2[[#This Row],[R$TOTAL FÉRIAS FACIL ]]-Tabela2[[#This Row],[R$ PARCELADO]]</f>
        <v>696.5</v>
      </c>
      <c r="N344" s="6"/>
    </row>
    <row r="345" spans="1:14" x14ac:dyDescent="0.25">
      <c r="A345" s="6" t="s">
        <v>796</v>
      </c>
      <c r="B345" s="7">
        <f t="shared" ca="1" si="122"/>
        <v>143</v>
      </c>
      <c r="C345" s="12">
        <v>5</v>
      </c>
      <c r="D345" s="10">
        <v>99.9</v>
      </c>
      <c r="E345" s="10">
        <f t="shared" si="123"/>
        <v>499.5</v>
      </c>
      <c r="F345" s="7" t="s">
        <v>1184</v>
      </c>
      <c r="G345" s="6" t="s">
        <v>797</v>
      </c>
      <c r="H345" s="7" t="s">
        <v>1197</v>
      </c>
      <c r="I345" s="8" t="s">
        <v>210</v>
      </c>
      <c r="J345" s="9">
        <v>6681.96</v>
      </c>
      <c r="K345" s="16">
        <v>1196</v>
      </c>
      <c r="L345" s="11">
        <f t="shared" si="124"/>
        <v>499.5</v>
      </c>
      <c r="M345" s="31">
        <f>Tabela2[[#This Row],[R$TOTAL FÉRIAS FACIL ]]-Tabela2[[#This Row],[R$ PARCELADO]]</f>
        <v>696.5</v>
      </c>
      <c r="N345" s="6"/>
    </row>
    <row r="346" spans="1:14" x14ac:dyDescent="0.25">
      <c r="A346" s="6" t="s">
        <v>798</v>
      </c>
      <c r="B346" s="7">
        <f t="shared" ca="1" si="122"/>
        <v>139</v>
      </c>
      <c r="C346" s="12">
        <v>5</v>
      </c>
      <c r="D346" s="10">
        <v>99.9</v>
      </c>
      <c r="E346" s="10">
        <f t="shared" si="123"/>
        <v>499.5</v>
      </c>
      <c r="F346" s="7" t="s">
        <v>1184</v>
      </c>
      <c r="G346" s="6" t="s">
        <v>799</v>
      </c>
      <c r="H346" s="7" t="s">
        <v>1197</v>
      </c>
      <c r="I346" s="8" t="s">
        <v>61</v>
      </c>
      <c r="J346" s="9">
        <v>6681.96</v>
      </c>
      <c r="K346" s="16">
        <v>1196</v>
      </c>
      <c r="L346" s="11">
        <f t="shared" si="124"/>
        <v>499.5</v>
      </c>
      <c r="M346" s="31">
        <f>Tabela2[[#This Row],[R$TOTAL FÉRIAS FACIL ]]-Tabela2[[#This Row],[R$ PARCELADO]]</f>
        <v>696.5</v>
      </c>
      <c r="N346" s="6"/>
    </row>
    <row r="347" spans="1:14" x14ac:dyDescent="0.25">
      <c r="A347" s="6" t="s">
        <v>800</v>
      </c>
      <c r="B347" s="7">
        <f t="shared" ca="1" si="122"/>
        <v>124</v>
      </c>
      <c r="C347" s="12">
        <v>4</v>
      </c>
      <c r="D347" s="10">
        <v>99.9</v>
      </c>
      <c r="E347" s="10">
        <f t="shared" si="123"/>
        <v>399.6</v>
      </c>
      <c r="F347" s="7" t="s">
        <v>1184</v>
      </c>
      <c r="G347" s="6" t="s">
        <v>801</v>
      </c>
      <c r="H347" s="7" t="s">
        <v>1197</v>
      </c>
      <c r="I347" s="8" t="s">
        <v>78</v>
      </c>
      <c r="J347" s="9">
        <v>7581.96</v>
      </c>
      <c r="K347" s="16">
        <v>1196</v>
      </c>
      <c r="L347" s="11">
        <f t="shared" si="124"/>
        <v>399.6</v>
      </c>
      <c r="M347" s="31">
        <f>Tabela2[[#This Row],[R$TOTAL FÉRIAS FACIL ]]-Tabela2[[#This Row],[R$ PARCELADO]]</f>
        <v>796.4</v>
      </c>
      <c r="N347" s="6"/>
    </row>
    <row r="348" spans="1:14" x14ac:dyDescent="0.25">
      <c r="A348" s="6" t="s">
        <v>802</v>
      </c>
      <c r="B348" s="7">
        <f t="shared" ca="1" si="122"/>
        <v>129</v>
      </c>
      <c r="C348" s="7"/>
      <c r="D348" s="7"/>
      <c r="E348" s="7"/>
      <c r="F348" s="7" t="s">
        <v>1184</v>
      </c>
      <c r="G348" s="6" t="s">
        <v>803</v>
      </c>
      <c r="H348" s="7" t="s">
        <v>13</v>
      </c>
      <c r="I348" s="8" t="s">
        <v>293</v>
      </c>
      <c r="J348" s="9">
        <v>4611.96</v>
      </c>
      <c r="K348" s="16">
        <v>1196</v>
      </c>
      <c r="L348" s="6"/>
      <c r="M348" s="31"/>
      <c r="N348" s="11">
        <f>K348</f>
        <v>1196</v>
      </c>
    </row>
    <row r="349" spans="1:14" x14ac:dyDescent="0.25">
      <c r="A349" s="6" t="s">
        <v>804</v>
      </c>
      <c r="B349" s="7">
        <f t="shared" ca="1" si="122"/>
        <v>122</v>
      </c>
      <c r="C349" s="12">
        <v>4</v>
      </c>
      <c r="D349" s="10">
        <v>99.9</v>
      </c>
      <c r="E349" s="10">
        <f>D349*C349</f>
        <v>399.6</v>
      </c>
      <c r="F349" s="7" t="s">
        <v>1184</v>
      </c>
      <c r="G349" s="6" t="s">
        <v>805</v>
      </c>
      <c r="H349" s="7" t="s">
        <v>1197</v>
      </c>
      <c r="I349" s="8" t="s">
        <v>260</v>
      </c>
      <c r="J349" s="9">
        <v>7581.96</v>
      </c>
      <c r="K349" s="16">
        <v>1196</v>
      </c>
      <c r="L349" s="11">
        <f>E349</f>
        <v>399.6</v>
      </c>
      <c r="M349" s="31">
        <f>Tabela2[[#This Row],[R$TOTAL FÉRIAS FACIL ]]-Tabela2[[#This Row],[R$ PARCELADO]]</f>
        <v>796.4</v>
      </c>
      <c r="N349" s="6"/>
    </row>
    <row r="350" spans="1:14" x14ac:dyDescent="0.25">
      <c r="A350" s="6" t="s">
        <v>806</v>
      </c>
      <c r="B350" s="7">
        <f t="shared" ca="1" si="122"/>
        <v>138</v>
      </c>
      <c r="C350" s="7"/>
      <c r="D350" s="7"/>
      <c r="E350" s="7"/>
      <c r="F350" s="7" t="s">
        <v>1184</v>
      </c>
      <c r="G350" s="6" t="s">
        <v>807</v>
      </c>
      <c r="H350" s="7" t="s">
        <v>13</v>
      </c>
      <c r="I350" s="8" t="s">
        <v>59</v>
      </c>
      <c r="J350" s="9">
        <v>4611.96</v>
      </c>
      <c r="K350" s="16">
        <v>1196</v>
      </c>
      <c r="L350" s="6"/>
      <c r="M350" s="31"/>
      <c r="N350" s="11">
        <f>K350</f>
        <v>1196</v>
      </c>
    </row>
    <row r="351" spans="1:14" x14ac:dyDescent="0.25">
      <c r="A351" s="6" t="s">
        <v>808</v>
      </c>
      <c r="B351" s="7">
        <f t="shared" ca="1" si="122"/>
        <v>143</v>
      </c>
      <c r="C351" s="12">
        <v>5</v>
      </c>
      <c r="D351" s="10">
        <v>99.9</v>
      </c>
      <c r="E351" s="10">
        <f>D351*C351</f>
        <v>499.5</v>
      </c>
      <c r="F351" s="7" t="s">
        <v>1184</v>
      </c>
      <c r="G351" s="6" t="s">
        <v>809</v>
      </c>
      <c r="H351" s="7" t="s">
        <v>1197</v>
      </c>
      <c r="I351" s="8" t="s">
        <v>210</v>
      </c>
      <c r="J351" s="9">
        <v>6681.96</v>
      </c>
      <c r="K351" s="16">
        <v>1196</v>
      </c>
      <c r="L351" s="11">
        <f>E351</f>
        <v>499.5</v>
      </c>
      <c r="M351" s="31">
        <f>Tabela2[[#This Row],[R$TOTAL FÉRIAS FACIL ]]-Tabela2[[#This Row],[R$ PARCELADO]]</f>
        <v>696.5</v>
      </c>
      <c r="N351" s="6"/>
    </row>
    <row r="352" spans="1:14" x14ac:dyDescent="0.25">
      <c r="A352" s="6" t="s">
        <v>810</v>
      </c>
      <c r="B352" s="7">
        <f t="shared" ca="1" si="122"/>
        <v>138</v>
      </c>
      <c r="C352" s="7"/>
      <c r="D352" s="7"/>
      <c r="E352" s="7"/>
      <c r="F352" s="7" t="s">
        <v>1184</v>
      </c>
      <c r="G352" s="6" t="s">
        <v>811</v>
      </c>
      <c r="H352" s="7" t="s">
        <v>13</v>
      </c>
      <c r="I352" s="8" t="s">
        <v>59</v>
      </c>
      <c r="J352" s="9">
        <v>4611.96</v>
      </c>
      <c r="K352" s="16">
        <v>1196</v>
      </c>
      <c r="L352" s="6"/>
      <c r="M352" s="31"/>
      <c r="N352" s="11">
        <f t="shared" ref="N352:N354" si="125">K352</f>
        <v>1196</v>
      </c>
    </row>
    <row r="353" spans="1:14" x14ac:dyDescent="0.25">
      <c r="A353" s="6" t="s">
        <v>812</v>
      </c>
      <c r="B353" s="7">
        <f t="shared" ca="1" si="122"/>
        <v>138</v>
      </c>
      <c r="C353" s="7"/>
      <c r="D353" s="7"/>
      <c r="E353" s="7"/>
      <c r="F353" s="7" t="s">
        <v>1184</v>
      </c>
      <c r="G353" s="6" t="s">
        <v>813</v>
      </c>
      <c r="H353" s="7" t="s">
        <v>13</v>
      </c>
      <c r="I353" s="8" t="s">
        <v>59</v>
      </c>
      <c r="J353" s="9">
        <v>4611.96</v>
      </c>
      <c r="K353" s="16">
        <v>1196</v>
      </c>
      <c r="L353" s="6"/>
      <c r="M353" s="31"/>
      <c r="N353" s="11">
        <f t="shared" si="125"/>
        <v>1196</v>
      </c>
    </row>
    <row r="354" spans="1:14" x14ac:dyDescent="0.25">
      <c r="A354" s="6" t="s">
        <v>814</v>
      </c>
      <c r="B354" s="7">
        <f t="shared" ca="1" si="122"/>
        <v>138</v>
      </c>
      <c r="C354" s="7"/>
      <c r="D354" s="7"/>
      <c r="E354" s="7"/>
      <c r="F354" s="7" t="s">
        <v>1184</v>
      </c>
      <c r="G354" s="6" t="s">
        <v>815</v>
      </c>
      <c r="H354" s="7" t="s">
        <v>13</v>
      </c>
      <c r="I354" s="8" t="s">
        <v>59</v>
      </c>
      <c r="J354" s="9">
        <v>4611.96</v>
      </c>
      <c r="K354" s="16">
        <v>1196</v>
      </c>
      <c r="L354" s="6"/>
      <c r="M354" s="31"/>
      <c r="N354" s="11">
        <f t="shared" si="125"/>
        <v>1196</v>
      </c>
    </row>
    <row r="355" spans="1:14" x14ac:dyDescent="0.25">
      <c r="A355" s="6" t="s">
        <v>816</v>
      </c>
      <c r="B355" s="7">
        <f t="shared" ca="1" si="122"/>
        <v>144</v>
      </c>
      <c r="C355" s="12">
        <v>5</v>
      </c>
      <c r="D355" s="10">
        <v>99.9</v>
      </c>
      <c r="E355" s="10">
        <f>D355*C355</f>
        <v>499.5</v>
      </c>
      <c r="F355" s="7" t="s">
        <v>1184</v>
      </c>
      <c r="G355" s="6" t="s">
        <v>817</v>
      </c>
      <c r="H355" s="7" t="s">
        <v>1197</v>
      </c>
      <c r="I355" s="8" t="s">
        <v>612</v>
      </c>
      <c r="J355" s="9">
        <v>6681.96</v>
      </c>
      <c r="K355" s="16">
        <v>1196</v>
      </c>
      <c r="L355" s="11">
        <f>E355</f>
        <v>499.5</v>
      </c>
      <c r="M355" s="31">
        <f>Tabela2[[#This Row],[R$TOTAL FÉRIAS FACIL ]]-Tabela2[[#This Row],[R$ PARCELADO]]</f>
        <v>696.5</v>
      </c>
      <c r="N355" s="6"/>
    </row>
    <row r="356" spans="1:14" x14ac:dyDescent="0.25">
      <c r="A356" s="6" t="s">
        <v>818</v>
      </c>
      <c r="B356" s="7">
        <f t="shared" ca="1" si="122"/>
        <v>139</v>
      </c>
      <c r="C356" s="7"/>
      <c r="D356" s="7"/>
      <c r="E356" s="7"/>
      <c r="F356" s="7" t="s">
        <v>1184</v>
      </c>
      <c r="G356" s="6" t="s">
        <v>819</v>
      </c>
      <c r="H356" s="7" t="s">
        <v>13</v>
      </c>
      <c r="I356" s="8" t="s">
        <v>61</v>
      </c>
      <c r="J356" s="9">
        <v>4611.96</v>
      </c>
      <c r="K356" s="16">
        <v>1196</v>
      </c>
      <c r="L356" s="6"/>
      <c r="M356" s="31"/>
      <c r="N356" s="11">
        <f t="shared" ref="N356:N360" si="126">K356</f>
        <v>1196</v>
      </c>
    </row>
    <row r="357" spans="1:14" x14ac:dyDescent="0.25">
      <c r="A357" s="6" t="s">
        <v>820</v>
      </c>
      <c r="B357" s="7">
        <f t="shared" ca="1" si="122"/>
        <v>139</v>
      </c>
      <c r="C357" s="7"/>
      <c r="D357" s="7"/>
      <c r="E357" s="7"/>
      <c r="F357" s="7" t="s">
        <v>1184</v>
      </c>
      <c r="G357" s="6" t="s">
        <v>821</v>
      </c>
      <c r="H357" s="7" t="s">
        <v>13</v>
      </c>
      <c r="I357" s="8" t="s">
        <v>61</v>
      </c>
      <c r="J357" s="9">
        <v>4611.96</v>
      </c>
      <c r="K357" s="16">
        <v>1196</v>
      </c>
      <c r="L357" s="6"/>
      <c r="M357" s="31"/>
      <c r="N357" s="11">
        <f t="shared" si="126"/>
        <v>1196</v>
      </c>
    </row>
    <row r="358" spans="1:14" x14ac:dyDescent="0.25">
      <c r="A358" s="6" t="s">
        <v>822</v>
      </c>
      <c r="B358" s="7">
        <f t="shared" ca="1" si="122"/>
        <v>143</v>
      </c>
      <c r="C358" s="7"/>
      <c r="D358" s="7"/>
      <c r="E358" s="7"/>
      <c r="F358" s="7" t="s">
        <v>1184</v>
      </c>
      <c r="G358" s="6" t="s">
        <v>823</v>
      </c>
      <c r="H358" s="7" t="s">
        <v>13</v>
      </c>
      <c r="I358" s="8" t="s">
        <v>210</v>
      </c>
      <c r="J358" s="9">
        <v>4611.96</v>
      </c>
      <c r="K358" s="16">
        <v>1196</v>
      </c>
      <c r="L358" s="6"/>
      <c r="M358" s="31"/>
      <c r="N358" s="11">
        <f t="shared" si="126"/>
        <v>1196</v>
      </c>
    </row>
    <row r="359" spans="1:14" x14ac:dyDescent="0.25">
      <c r="A359" s="6" t="s">
        <v>824</v>
      </c>
      <c r="B359" s="7">
        <f t="shared" ca="1" si="122"/>
        <v>130</v>
      </c>
      <c r="C359" s="7"/>
      <c r="D359" s="7"/>
      <c r="E359" s="7"/>
      <c r="F359" s="7" t="s">
        <v>1184</v>
      </c>
      <c r="G359" s="6" t="s">
        <v>825</v>
      </c>
      <c r="H359" s="7" t="s">
        <v>13</v>
      </c>
      <c r="I359" s="8" t="s">
        <v>319</v>
      </c>
      <c r="J359" s="9">
        <v>4611.96</v>
      </c>
      <c r="K359" s="16">
        <v>1196</v>
      </c>
      <c r="L359" s="6"/>
      <c r="M359" s="31"/>
      <c r="N359" s="11">
        <f t="shared" si="126"/>
        <v>1196</v>
      </c>
    </row>
    <row r="360" spans="1:14" x14ac:dyDescent="0.25">
      <c r="A360" s="6" t="s">
        <v>826</v>
      </c>
      <c r="B360" s="7">
        <f t="shared" ca="1" si="122"/>
        <v>116</v>
      </c>
      <c r="C360" s="7"/>
      <c r="D360" s="7"/>
      <c r="E360" s="7"/>
      <c r="F360" s="7" t="s">
        <v>1184</v>
      </c>
      <c r="G360" s="6" t="s">
        <v>827</v>
      </c>
      <c r="H360" s="7" t="s">
        <v>13</v>
      </c>
      <c r="I360" s="8" t="s">
        <v>226</v>
      </c>
      <c r="J360" s="9">
        <v>4611.96</v>
      </c>
      <c r="K360" s="16">
        <v>1196</v>
      </c>
      <c r="L360" s="6"/>
      <c r="M360" s="31"/>
      <c r="N360" s="11">
        <f t="shared" si="126"/>
        <v>1196</v>
      </c>
    </row>
    <row r="361" spans="1:14" x14ac:dyDescent="0.25">
      <c r="A361" s="6" t="s">
        <v>828</v>
      </c>
      <c r="B361" s="7">
        <f t="shared" ca="1" si="122"/>
        <v>94</v>
      </c>
      <c r="C361" s="7">
        <v>3</v>
      </c>
      <c r="D361" s="10">
        <v>99.9</v>
      </c>
      <c r="E361" s="10">
        <f t="shared" ref="E361:E362" si="127">D361*C361</f>
        <v>299.70000000000005</v>
      </c>
      <c r="F361" s="7" t="s">
        <v>1184</v>
      </c>
      <c r="G361" s="6" t="s">
        <v>829</v>
      </c>
      <c r="H361" s="7" t="s">
        <v>1197</v>
      </c>
      <c r="I361" s="8" t="s">
        <v>830</v>
      </c>
      <c r="J361" s="9">
        <v>7581.96</v>
      </c>
      <c r="K361" s="16">
        <v>1196</v>
      </c>
      <c r="L361" s="11">
        <f t="shared" ref="L361:L362" si="128">E361</f>
        <v>299.70000000000005</v>
      </c>
      <c r="M361" s="31">
        <f>Tabela2[[#This Row],[R$TOTAL FÉRIAS FACIL ]]-Tabela2[[#This Row],[R$ PARCELADO]]</f>
        <v>896.3</v>
      </c>
      <c r="N361" s="6"/>
    </row>
    <row r="362" spans="1:14" x14ac:dyDescent="0.25">
      <c r="A362" s="6" t="s">
        <v>831</v>
      </c>
      <c r="B362" s="7">
        <f t="shared" ca="1" si="122"/>
        <v>130</v>
      </c>
      <c r="C362" s="12">
        <v>4</v>
      </c>
      <c r="D362" s="10">
        <v>99.9</v>
      </c>
      <c r="E362" s="10">
        <f t="shared" si="127"/>
        <v>399.6</v>
      </c>
      <c r="F362" s="7" t="s">
        <v>1184</v>
      </c>
      <c r="G362" s="6" t="s">
        <v>832</v>
      </c>
      <c r="H362" s="7" t="s">
        <v>1197</v>
      </c>
      <c r="I362" s="8" t="s">
        <v>319</v>
      </c>
      <c r="J362" s="9">
        <v>6681.96</v>
      </c>
      <c r="K362" s="16">
        <v>1196</v>
      </c>
      <c r="L362" s="11">
        <f t="shared" si="128"/>
        <v>399.6</v>
      </c>
      <c r="M362" s="31">
        <f>Tabela2[[#This Row],[R$TOTAL FÉRIAS FACIL ]]-Tabela2[[#This Row],[R$ PARCELADO]]</f>
        <v>796.4</v>
      </c>
      <c r="N362" s="6"/>
    </row>
    <row r="363" spans="1:14" x14ac:dyDescent="0.25">
      <c r="A363" s="6" t="s">
        <v>833</v>
      </c>
      <c r="B363" s="7">
        <f t="shared" ca="1" si="122"/>
        <v>140</v>
      </c>
      <c r="C363" s="7"/>
      <c r="D363" s="7"/>
      <c r="E363" s="7"/>
      <c r="F363" s="7" t="s">
        <v>1184</v>
      </c>
      <c r="G363" s="6" t="s">
        <v>834</v>
      </c>
      <c r="H363" s="7" t="s">
        <v>13</v>
      </c>
      <c r="I363" s="8" t="s">
        <v>57</v>
      </c>
      <c r="J363" s="9">
        <v>4611.96</v>
      </c>
      <c r="K363" s="16">
        <v>1196</v>
      </c>
      <c r="L363" s="6"/>
      <c r="M363" s="31"/>
      <c r="N363" s="11">
        <f>K363</f>
        <v>1196</v>
      </c>
    </row>
    <row r="364" spans="1:14" x14ac:dyDescent="0.25">
      <c r="A364" s="6" t="s">
        <v>835</v>
      </c>
      <c r="B364" s="7">
        <f t="shared" ca="1" si="122"/>
        <v>138</v>
      </c>
      <c r="C364" s="12">
        <v>5</v>
      </c>
      <c r="D364" s="10">
        <v>99.9</v>
      </c>
      <c r="E364" s="10">
        <f t="shared" ref="E364:E371" si="129">D364*C364</f>
        <v>499.5</v>
      </c>
      <c r="F364" s="7" t="s">
        <v>1184</v>
      </c>
      <c r="G364" s="6" t="s">
        <v>836</v>
      </c>
      <c r="H364" s="7" t="s">
        <v>1197</v>
      </c>
      <c r="I364" s="8" t="s">
        <v>59</v>
      </c>
      <c r="J364" s="9">
        <v>7581.96</v>
      </c>
      <c r="K364" s="16">
        <v>1196</v>
      </c>
      <c r="L364" s="11">
        <f t="shared" ref="L364:L371" si="130">E364</f>
        <v>499.5</v>
      </c>
      <c r="M364" s="31">
        <f>Tabela2[[#This Row],[R$TOTAL FÉRIAS FACIL ]]-Tabela2[[#This Row],[R$ PARCELADO]]</f>
        <v>696.5</v>
      </c>
      <c r="N364" s="6"/>
    </row>
    <row r="365" spans="1:14" x14ac:dyDescent="0.25">
      <c r="A365" s="6" t="s">
        <v>837</v>
      </c>
      <c r="B365" s="7">
        <f t="shared" ca="1" si="122"/>
        <v>115</v>
      </c>
      <c r="C365" s="12">
        <v>4</v>
      </c>
      <c r="D365" s="10">
        <v>99.9</v>
      </c>
      <c r="E365" s="10">
        <f t="shared" si="129"/>
        <v>399.6</v>
      </c>
      <c r="F365" s="7" t="s">
        <v>1184</v>
      </c>
      <c r="G365" s="6" t="s">
        <v>838</v>
      </c>
      <c r="H365" s="7" t="s">
        <v>1197</v>
      </c>
      <c r="I365" s="8" t="s">
        <v>273</v>
      </c>
      <c r="J365" s="9">
        <v>6681.96</v>
      </c>
      <c r="K365" s="16">
        <v>1196</v>
      </c>
      <c r="L365" s="11">
        <f t="shared" si="130"/>
        <v>399.6</v>
      </c>
      <c r="M365" s="31">
        <f>Tabela2[[#This Row],[R$TOTAL FÉRIAS FACIL ]]-Tabela2[[#This Row],[R$ PARCELADO]]</f>
        <v>796.4</v>
      </c>
      <c r="N365" s="6"/>
    </row>
    <row r="366" spans="1:14" x14ac:dyDescent="0.25">
      <c r="A366" s="6" t="s">
        <v>839</v>
      </c>
      <c r="B366" s="7">
        <f t="shared" ca="1" si="122"/>
        <v>138</v>
      </c>
      <c r="C366" s="12">
        <v>5</v>
      </c>
      <c r="D366" s="10">
        <v>99.9</v>
      </c>
      <c r="E366" s="10">
        <f t="shared" si="129"/>
        <v>499.5</v>
      </c>
      <c r="F366" s="7" t="s">
        <v>1184</v>
      </c>
      <c r="G366" s="6" t="s">
        <v>840</v>
      </c>
      <c r="H366" s="7" t="s">
        <v>1197</v>
      </c>
      <c r="I366" s="8" t="s">
        <v>59</v>
      </c>
      <c r="J366" s="9">
        <v>7581.96</v>
      </c>
      <c r="K366" s="16">
        <v>1196</v>
      </c>
      <c r="L366" s="11">
        <f t="shared" si="130"/>
        <v>499.5</v>
      </c>
      <c r="M366" s="31">
        <f>Tabela2[[#This Row],[R$TOTAL FÉRIAS FACIL ]]-Tabela2[[#This Row],[R$ PARCELADO]]</f>
        <v>696.5</v>
      </c>
      <c r="N366" s="6"/>
    </row>
    <row r="367" spans="1:14" x14ac:dyDescent="0.25">
      <c r="A367" s="6" t="s">
        <v>841</v>
      </c>
      <c r="B367" s="7">
        <f t="shared" ca="1" si="122"/>
        <v>129</v>
      </c>
      <c r="C367" s="12">
        <v>4</v>
      </c>
      <c r="D367" s="10">
        <v>99.9</v>
      </c>
      <c r="E367" s="10">
        <f t="shared" si="129"/>
        <v>399.6</v>
      </c>
      <c r="F367" s="7" t="s">
        <v>1184</v>
      </c>
      <c r="G367" s="6" t="s">
        <v>842</v>
      </c>
      <c r="H367" s="7" t="s">
        <v>1197</v>
      </c>
      <c r="I367" s="8" t="s">
        <v>293</v>
      </c>
      <c r="J367" s="9">
        <v>6681.96</v>
      </c>
      <c r="K367" s="16">
        <v>1196</v>
      </c>
      <c r="L367" s="11">
        <f t="shared" si="130"/>
        <v>399.6</v>
      </c>
      <c r="M367" s="31">
        <f>Tabela2[[#This Row],[R$TOTAL FÉRIAS FACIL ]]-Tabela2[[#This Row],[R$ PARCELADO]]</f>
        <v>796.4</v>
      </c>
      <c r="N367" s="6"/>
    </row>
    <row r="368" spans="1:14" x14ac:dyDescent="0.25">
      <c r="A368" s="6" t="s">
        <v>843</v>
      </c>
      <c r="B368" s="7">
        <f t="shared" ca="1" si="122"/>
        <v>137</v>
      </c>
      <c r="C368" s="12">
        <v>5</v>
      </c>
      <c r="D368" s="10">
        <v>99.9</v>
      </c>
      <c r="E368" s="10">
        <f t="shared" si="129"/>
        <v>499.5</v>
      </c>
      <c r="F368" s="7" t="s">
        <v>1184</v>
      </c>
      <c r="G368" s="6" t="s">
        <v>844</v>
      </c>
      <c r="H368" s="7" t="s">
        <v>1197</v>
      </c>
      <c r="I368" s="8" t="s">
        <v>66</v>
      </c>
      <c r="J368" s="9">
        <v>7581.96</v>
      </c>
      <c r="K368" s="16">
        <v>1196</v>
      </c>
      <c r="L368" s="11">
        <f t="shared" si="130"/>
        <v>499.5</v>
      </c>
      <c r="M368" s="31">
        <f>Tabela2[[#This Row],[R$TOTAL FÉRIAS FACIL ]]-Tabela2[[#This Row],[R$ PARCELADO]]</f>
        <v>696.5</v>
      </c>
      <c r="N368" s="6"/>
    </row>
    <row r="369" spans="1:14" x14ac:dyDescent="0.25">
      <c r="A369" s="6" t="s">
        <v>845</v>
      </c>
      <c r="B369" s="7">
        <f t="shared" ca="1" si="122"/>
        <v>133</v>
      </c>
      <c r="C369" s="12">
        <v>4</v>
      </c>
      <c r="D369" s="10">
        <v>99.9</v>
      </c>
      <c r="E369" s="10">
        <f t="shared" si="129"/>
        <v>399.6</v>
      </c>
      <c r="F369" s="7" t="s">
        <v>1184</v>
      </c>
      <c r="G369" s="6" t="s">
        <v>846</v>
      </c>
      <c r="H369" s="7" t="s">
        <v>1197</v>
      </c>
      <c r="I369" s="8" t="s">
        <v>209</v>
      </c>
      <c r="J369" s="9">
        <v>7581.96</v>
      </c>
      <c r="K369" s="16">
        <v>1196</v>
      </c>
      <c r="L369" s="11">
        <f t="shared" si="130"/>
        <v>399.6</v>
      </c>
      <c r="M369" s="31">
        <f>Tabela2[[#This Row],[R$TOTAL FÉRIAS FACIL ]]-Tabela2[[#This Row],[R$ PARCELADO]]</f>
        <v>796.4</v>
      </c>
      <c r="N369" s="6"/>
    </row>
    <row r="370" spans="1:14" x14ac:dyDescent="0.25">
      <c r="A370" s="6" t="s">
        <v>847</v>
      </c>
      <c r="B370" s="7">
        <f t="shared" ca="1" si="122"/>
        <v>130</v>
      </c>
      <c r="C370" s="12">
        <v>4</v>
      </c>
      <c r="D370" s="10">
        <v>99.9</v>
      </c>
      <c r="E370" s="10">
        <f t="shared" si="129"/>
        <v>399.6</v>
      </c>
      <c r="F370" s="7" t="s">
        <v>1184</v>
      </c>
      <c r="G370" s="6" t="s">
        <v>848</v>
      </c>
      <c r="H370" s="7" t="s">
        <v>1197</v>
      </c>
      <c r="I370" s="8" t="s">
        <v>319</v>
      </c>
      <c r="J370" s="9">
        <v>7581.96</v>
      </c>
      <c r="K370" s="16">
        <v>1196</v>
      </c>
      <c r="L370" s="11">
        <f t="shared" si="130"/>
        <v>399.6</v>
      </c>
      <c r="M370" s="31">
        <f>Tabela2[[#This Row],[R$TOTAL FÉRIAS FACIL ]]-Tabela2[[#This Row],[R$ PARCELADO]]</f>
        <v>796.4</v>
      </c>
      <c r="N370" s="6"/>
    </row>
    <row r="371" spans="1:14" x14ac:dyDescent="0.25">
      <c r="A371" s="6" t="s">
        <v>849</v>
      </c>
      <c r="B371" s="7">
        <f t="shared" ca="1" si="122"/>
        <v>135</v>
      </c>
      <c r="C371" s="12">
        <v>5</v>
      </c>
      <c r="D371" s="10">
        <v>99.9</v>
      </c>
      <c r="E371" s="10">
        <f t="shared" si="129"/>
        <v>499.5</v>
      </c>
      <c r="F371" s="7" t="s">
        <v>1184</v>
      </c>
      <c r="G371" s="6" t="s">
        <v>850</v>
      </c>
      <c r="H371" s="7" t="s">
        <v>1197</v>
      </c>
      <c r="I371" s="8" t="s">
        <v>146</v>
      </c>
      <c r="J371" s="9">
        <v>6681.96</v>
      </c>
      <c r="K371" s="16">
        <v>1196</v>
      </c>
      <c r="L371" s="11">
        <f t="shared" si="130"/>
        <v>499.5</v>
      </c>
      <c r="M371" s="31">
        <f>Tabela2[[#This Row],[R$TOTAL FÉRIAS FACIL ]]-Tabela2[[#This Row],[R$ PARCELADO]]</f>
        <v>696.5</v>
      </c>
      <c r="N371" s="6"/>
    </row>
    <row r="372" spans="1:14" x14ac:dyDescent="0.25">
      <c r="A372" s="6" t="s">
        <v>851</v>
      </c>
      <c r="B372" s="7">
        <f t="shared" ca="1" si="122"/>
        <v>136</v>
      </c>
      <c r="C372" s="7"/>
      <c r="D372" s="7"/>
      <c r="E372" s="7"/>
      <c r="F372" s="7" t="s">
        <v>1184</v>
      </c>
      <c r="G372" s="6" t="s">
        <v>852</v>
      </c>
      <c r="H372" s="7" t="s">
        <v>13</v>
      </c>
      <c r="I372" s="8" t="s">
        <v>342</v>
      </c>
      <c r="J372" s="9">
        <v>4611.96</v>
      </c>
      <c r="K372" s="16">
        <v>1196</v>
      </c>
      <c r="L372" s="6"/>
      <c r="M372" s="31"/>
      <c r="N372" s="11">
        <f>K372</f>
        <v>1196</v>
      </c>
    </row>
    <row r="373" spans="1:14" x14ac:dyDescent="0.25">
      <c r="A373" s="6" t="s">
        <v>853</v>
      </c>
      <c r="B373" s="7">
        <f t="shared" ca="1" si="122"/>
        <v>140</v>
      </c>
      <c r="C373" s="12">
        <v>5</v>
      </c>
      <c r="D373" s="10">
        <v>99.9</v>
      </c>
      <c r="E373" s="10">
        <f>D373*C373</f>
        <v>499.5</v>
      </c>
      <c r="F373" s="7" t="s">
        <v>1184</v>
      </c>
      <c r="G373" s="6" t="s">
        <v>854</v>
      </c>
      <c r="H373" s="7" t="s">
        <v>1197</v>
      </c>
      <c r="I373" s="8" t="s">
        <v>57</v>
      </c>
      <c r="J373" s="9">
        <v>9082.02</v>
      </c>
      <c r="K373" s="16">
        <v>1196</v>
      </c>
      <c r="L373" s="11">
        <f>E373</f>
        <v>499.5</v>
      </c>
      <c r="M373" s="31">
        <f>Tabela2[[#This Row],[R$TOTAL FÉRIAS FACIL ]]-Tabela2[[#This Row],[R$ PARCELADO]]</f>
        <v>696.5</v>
      </c>
      <c r="N373" s="6"/>
    </row>
    <row r="374" spans="1:14" x14ac:dyDescent="0.25">
      <c r="A374" s="6" t="s">
        <v>855</v>
      </c>
      <c r="B374" s="7">
        <f t="shared" ca="1" si="122"/>
        <v>141</v>
      </c>
      <c r="C374" s="7"/>
      <c r="D374" s="7"/>
      <c r="E374" s="7"/>
      <c r="F374" s="7" t="s">
        <v>1184</v>
      </c>
      <c r="G374" s="6" t="s">
        <v>856</v>
      </c>
      <c r="H374" s="7" t="s">
        <v>13</v>
      </c>
      <c r="I374" s="8" t="s">
        <v>53</v>
      </c>
      <c r="J374" s="9">
        <v>4842.54</v>
      </c>
      <c r="K374" s="16">
        <v>1196</v>
      </c>
      <c r="L374" s="6"/>
      <c r="M374" s="31"/>
      <c r="N374" s="11">
        <f>K374</f>
        <v>1196</v>
      </c>
    </row>
    <row r="375" spans="1:14" x14ac:dyDescent="0.25">
      <c r="A375" s="6" t="s">
        <v>857</v>
      </c>
      <c r="B375" s="7">
        <f t="shared" ca="1" si="122"/>
        <v>140</v>
      </c>
      <c r="C375" s="12">
        <v>5</v>
      </c>
      <c r="D375" s="10">
        <v>99.9</v>
      </c>
      <c r="E375" s="10">
        <f t="shared" ref="E375:E376" si="131">D375*C375</f>
        <v>499.5</v>
      </c>
      <c r="F375" s="7" t="s">
        <v>1184</v>
      </c>
      <c r="G375" s="6" t="s">
        <v>858</v>
      </c>
      <c r="H375" s="7" t="s">
        <v>1197</v>
      </c>
      <c r="I375" s="8" t="s">
        <v>57</v>
      </c>
      <c r="J375" s="9">
        <v>6681.96</v>
      </c>
      <c r="K375" s="16">
        <v>1196</v>
      </c>
      <c r="L375" s="11">
        <f t="shared" ref="L375:L376" si="132">E375</f>
        <v>499.5</v>
      </c>
      <c r="M375" s="31">
        <f>Tabela2[[#This Row],[R$TOTAL FÉRIAS FACIL ]]-Tabela2[[#This Row],[R$ PARCELADO]]</f>
        <v>696.5</v>
      </c>
      <c r="N375" s="6"/>
    </row>
    <row r="376" spans="1:14" x14ac:dyDescent="0.25">
      <c r="A376" s="6" t="s">
        <v>859</v>
      </c>
      <c r="B376" s="7">
        <f t="shared" ca="1" si="122"/>
        <v>131</v>
      </c>
      <c r="C376" s="12">
        <v>4</v>
      </c>
      <c r="D376" s="10">
        <v>99.9</v>
      </c>
      <c r="E376" s="10">
        <f t="shared" si="131"/>
        <v>399.6</v>
      </c>
      <c r="F376" s="7" t="s">
        <v>1184</v>
      </c>
      <c r="G376" s="6" t="s">
        <v>860</v>
      </c>
      <c r="H376" s="7" t="s">
        <v>1197</v>
      </c>
      <c r="I376" s="8" t="s">
        <v>6</v>
      </c>
      <c r="J376" s="9">
        <v>7581.96</v>
      </c>
      <c r="K376" s="16">
        <v>1196</v>
      </c>
      <c r="L376" s="11">
        <f t="shared" si="132"/>
        <v>399.6</v>
      </c>
      <c r="M376" s="31">
        <f>Tabela2[[#This Row],[R$TOTAL FÉRIAS FACIL ]]-Tabela2[[#This Row],[R$ PARCELADO]]</f>
        <v>796.4</v>
      </c>
      <c r="N376" s="6"/>
    </row>
    <row r="377" spans="1:14" x14ac:dyDescent="0.25">
      <c r="A377" s="6" t="s">
        <v>861</v>
      </c>
      <c r="B377" s="7">
        <f t="shared" ca="1" si="122"/>
        <v>129</v>
      </c>
      <c r="C377" s="7"/>
      <c r="D377" s="7"/>
      <c r="E377" s="7"/>
      <c r="F377" s="7" t="s">
        <v>1184</v>
      </c>
      <c r="G377" s="6" t="s">
        <v>862</v>
      </c>
      <c r="H377" s="7" t="s">
        <v>13</v>
      </c>
      <c r="I377" s="8" t="s">
        <v>293</v>
      </c>
      <c r="J377" s="9">
        <v>4188</v>
      </c>
      <c r="K377" s="16">
        <v>1196</v>
      </c>
      <c r="L377" s="6"/>
      <c r="M377" s="31"/>
      <c r="N377" s="11">
        <f t="shared" ref="N377:N378" si="133">K377</f>
        <v>1196</v>
      </c>
    </row>
    <row r="378" spans="1:14" x14ac:dyDescent="0.25">
      <c r="A378" s="6" t="s">
        <v>863</v>
      </c>
      <c r="B378" s="7">
        <f t="shared" ca="1" si="122"/>
        <v>140</v>
      </c>
      <c r="C378" s="7"/>
      <c r="D378" s="7"/>
      <c r="E378" s="7"/>
      <c r="F378" s="7" t="s">
        <v>1184</v>
      </c>
      <c r="G378" s="6" t="s">
        <v>864</v>
      </c>
      <c r="H378" s="7" t="s">
        <v>13</v>
      </c>
      <c r="I378" s="8" t="s">
        <v>57</v>
      </c>
      <c r="J378" s="9">
        <v>4361.96</v>
      </c>
      <c r="K378" s="16">
        <v>1196</v>
      </c>
      <c r="L378" s="6"/>
      <c r="M378" s="31"/>
      <c r="N378" s="11">
        <f t="shared" si="133"/>
        <v>1196</v>
      </c>
    </row>
    <row r="379" spans="1:14" x14ac:dyDescent="0.25">
      <c r="A379" s="6" t="s">
        <v>865</v>
      </c>
      <c r="B379" s="7">
        <f t="shared" ca="1" si="122"/>
        <v>133</v>
      </c>
      <c r="C379" s="12">
        <v>4</v>
      </c>
      <c r="D379" s="10">
        <v>99.9</v>
      </c>
      <c r="E379" s="10">
        <f>D379*C379</f>
        <v>399.6</v>
      </c>
      <c r="F379" s="7" t="s">
        <v>1184</v>
      </c>
      <c r="G379" s="6" t="s">
        <v>866</v>
      </c>
      <c r="H379" s="7" t="s">
        <v>1197</v>
      </c>
      <c r="I379" s="8" t="s">
        <v>209</v>
      </c>
      <c r="J379" s="9">
        <v>6681.96</v>
      </c>
      <c r="K379" s="16">
        <v>1196</v>
      </c>
      <c r="L379" s="11">
        <f>E379</f>
        <v>399.6</v>
      </c>
      <c r="M379" s="31">
        <f>Tabela2[[#This Row],[R$TOTAL FÉRIAS FACIL ]]-Tabela2[[#This Row],[R$ PARCELADO]]</f>
        <v>796.4</v>
      </c>
      <c r="N379" s="6"/>
    </row>
    <row r="380" spans="1:14" x14ac:dyDescent="0.25">
      <c r="A380" s="6" t="s">
        <v>867</v>
      </c>
      <c r="B380" s="7">
        <f t="shared" ca="1" si="122"/>
        <v>139</v>
      </c>
      <c r="C380" s="7"/>
      <c r="D380" s="7"/>
      <c r="E380" s="7"/>
      <c r="F380" s="7" t="s">
        <v>1184</v>
      </c>
      <c r="G380" s="6" t="s">
        <v>868</v>
      </c>
      <c r="H380" s="7" t="s">
        <v>13</v>
      </c>
      <c r="I380" s="8" t="s">
        <v>61</v>
      </c>
      <c r="J380" s="9">
        <v>4611.96</v>
      </c>
      <c r="K380" s="16">
        <v>1196</v>
      </c>
      <c r="L380" s="6"/>
      <c r="M380" s="31"/>
      <c r="N380" s="11">
        <f>K380</f>
        <v>1196</v>
      </c>
    </row>
    <row r="381" spans="1:14" x14ac:dyDescent="0.25">
      <c r="A381" s="6" t="s">
        <v>869</v>
      </c>
      <c r="B381" s="7">
        <f t="shared" ca="1" si="122"/>
        <v>139</v>
      </c>
      <c r="C381" s="12">
        <v>5</v>
      </c>
      <c r="D381" s="10">
        <v>99.9</v>
      </c>
      <c r="E381" s="10">
        <f>D381*C381</f>
        <v>499.5</v>
      </c>
      <c r="F381" s="7" t="s">
        <v>1184</v>
      </c>
      <c r="G381" s="6" t="s">
        <v>870</v>
      </c>
      <c r="H381" s="7" t="s">
        <v>1197</v>
      </c>
      <c r="I381" s="8" t="s">
        <v>61</v>
      </c>
      <c r="J381" s="9">
        <v>6681.96</v>
      </c>
      <c r="K381" s="16">
        <v>1196</v>
      </c>
      <c r="L381" s="11">
        <f>E381</f>
        <v>499.5</v>
      </c>
      <c r="M381" s="31">
        <f>Tabela2[[#This Row],[R$TOTAL FÉRIAS FACIL ]]-Tabela2[[#This Row],[R$ PARCELADO]]</f>
        <v>696.5</v>
      </c>
      <c r="N381" s="6"/>
    </row>
    <row r="382" spans="1:14" x14ac:dyDescent="0.25">
      <c r="A382" s="6" t="s">
        <v>871</v>
      </c>
      <c r="B382" s="7">
        <f t="shared" ca="1" si="122"/>
        <v>138</v>
      </c>
      <c r="C382" s="7"/>
      <c r="D382" s="7"/>
      <c r="E382" s="7"/>
      <c r="F382" s="7" t="s">
        <v>1184</v>
      </c>
      <c r="G382" s="6" t="s">
        <v>872</v>
      </c>
      <c r="H382" s="7" t="s">
        <v>13</v>
      </c>
      <c r="I382" s="8" t="s">
        <v>59</v>
      </c>
      <c r="J382" s="9">
        <v>4611.96</v>
      </c>
      <c r="K382" s="16">
        <v>1196</v>
      </c>
      <c r="L382" s="6"/>
      <c r="M382" s="31"/>
      <c r="N382" s="11">
        <f t="shared" ref="N382:N383" si="134">K382</f>
        <v>1196</v>
      </c>
    </row>
    <row r="383" spans="1:14" x14ac:dyDescent="0.25">
      <c r="A383" s="6" t="s">
        <v>873</v>
      </c>
      <c r="B383" s="7">
        <f t="shared" ca="1" si="122"/>
        <v>138</v>
      </c>
      <c r="C383" s="7"/>
      <c r="D383" s="7"/>
      <c r="E383" s="7"/>
      <c r="F383" s="7" t="s">
        <v>1184</v>
      </c>
      <c r="G383" s="6" t="s">
        <v>874</v>
      </c>
      <c r="H383" s="7" t="s">
        <v>13</v>
      </c>
      <c r="I383" s="8" t="s">
        <v>59</v>
      </c>
      <c r="J383" s="9">
        <v>4611.96</v>
      </c>
      <c r="K383" s="16">
        <v>1196</v>
      </c>
      <c r="L383" s="6"/>
      <c r="M383" s="31"/>
      <c r="N383" s="11">
        <f t="shared" si="134"/>
        <v>1196</v>
      </c>
    </row>
    <row r="384" spans="1:14" x14ac:dyDescent="0.25">
      <c r="A384" s="6" t="s">
        <v>875</v>
      </c>
      <c r="B384" s="7">
        <f t="shared" ca="1" si="122"/>
        <v>138</v>
      </c>
      <c r="C384" s="12">
        <v>5</v>
      </c>
      <c r="D384" s="10">
        <v>99.9</v>
      </c>
      <c r="E384" s="10">
        <f>D384*C384</f>
        <v>499.5</v>
      </c>
      <c r="F384" s="7" t="s">
        <v>1184</v>
      </c>
      <c r="G384" s="6" t="s">
        <v>876</v>
      </c>
      <c r="H384" s="7" t="s">
        <v>1197</v>
      </c>
      <c r="I384" s="8" t="s">
        <v>59</v>
      </c>
      <c r="J384" s="9">
        <v>6681.96</v>
      </c>
      <c r="K384" s="16">
        <v>1196</v>
      </c>
      <c r="L384" s="11">
        <f>E384</f>
        <v>499.5</v>
      </c>
      <c r="M384" s="31">
        <f>Tabela2[[#This Row],[R$TOTAL FÉRIAS FACIL ]]-Tabela2[[#This Row],[R$ PARCELADO]]</f>
        <v>696.5</v>
      </c>
      <c r="N384" s="6"/>
    </row>
    <row r="385" spans="1:14" x14ac:dyDescent="0.25">
      <c r="A385" s="6" t="s">
        <v>877</v>
      </c>
      <c r="B385" s="7">
        <f t="shared" ca="1" si="122"/>
        <v>135</v>
      </c>
      <c r="C385" s="7"/>
      <c r="D385" s="7"/>
      <c r="E385" s="7"/>
      <c r="F385" s="7" t="s">
        <v>1184</v>
      </c>
      <c r="G385" s="6" t="s">
        <v>878</v>
      </c>
      <c r="H385" s="7" t="s">
        <v>13</v>
      </c>
      <c r="I385" s="8" t="s">
        <v>146</v>
      </c>
      <c r="J385" s="9">
        <v>4611.96</v>
      </c>
      <c r="K385" s="16">
        <v>1196</v>
      </c>
      <c r="L385" s="6"/>
      <c r="M385" s="31"/>
      <c r="N385" s="11">
        <f>K385</f>
        <v>1196</v>
      </c>
    </row>
    <row r="386" spans="1:14" x14ac:dyDescent="0.25">
      <c r="A386" s="6" t="s">
        <v>879</v>
      </c>
      <c r="B386" s="7">
        <f t="shared" ca="1" si="122"/>
        <v>135</v>
      </c>
      <c r="C386" s="12">
        <v>5</v>
      </c>
      <c r="D386" s="10">
        <v>99.9</v>
      </c>
      <c r="E386" s="10">
        <f>D386*C386</f>
        <v>499.5</v>
      </c>
      <c r="F386" s="7" t="s">
        <v>1184</v>
      </c>
      <c r="G386" s="6" t="s">
        <v>880</v>
      </c>
      <c r="H386" s="7" t="s">
        <v>1197</v>
      </c>
      <c r="I386" s="8" t="s">
        <v>146</v>
      </c>
      <c r="J386" s="9">
        <v>7581.96</v>
      </c>
      <c r="K386" s="16">
        <v>1196</v>
      </c>
      <c r="L386" s="11">
        <f>E386</f>
        <v>499.5</v>
      </c>
      <c r="M386" s="31">
        <f>Tabela2[[#This Row],[R$TOTAL FÉRIAS FACIL ]]-Tabela2[[#This Row],[R$ PARCELADO]]</f>
        <v>696.5</v>
      </c>
      <c r="N386" s="6"/>
    </row>
    <row r="387" spans="1:14" x14ac:dyDescent="0.25">
      <c r="A387" s="6" t="s">
        <v>881</v>
      </c>
      <c r="B387" s="7">
        <f t="shared" ca="1" si="122"/>
        <v>140</v>
      </c>
      <c r="C387" s="7"/>
      <c r="D387" s="7"/>
      <c r="E387" s="7"/>
      <c r="F387" s="7" t="s">
        <v>1184</v>
      </c>
      <c r="G387" s="6" t="s">
        <v>882</v>
      </c>
      <c r="H387" s="7" t="s">
        <v>13</v>
      </c>
      <c r="I387" s="8" t="s">
        <v>57</v>
      </c>
      <c r="J387" s="9">
        <v>4611.96</v>
      </c>
      <c r="K387" s="16">
        <v>1196</v>
      </c>
      <c r="L387" s="6"/>
      <c r="M387" s="31"/>
      <c r="N387" s="11">
        <f t="shared" ref="N387:N389" si="135">K387</f>
        <v>1196</v>
      </c>
    </row>
    <row r="388" spans="1:14" x14ac:dyDescent="0.25">
      <c r="A388" s="6" t="s">
        <v>883</v>
      </c>
      <c r="B388" s="7">
        <f t="shared" ca="1" si="122"/>
        <v>137</v>
      </c>
      <c r="C388" s="7"/>
      <c r="D388" s="7"/>
      <c r="E388" s="7"/>
      <c r="F388" s="7" t="s">
        <v>1184</v>
      </c>
      <c r="G388" s="6" t="s">
        <v>884</v>
      </c>
      <c r="H388" s="7" t="s">
        <v>13</v>
      </c>
      <c r="I388" s="8" t="s">
        <v>66</v>
      </c>
      <c r="J388" s="9">
        <v>4611.96</v>
      </c>
      <c r="K388" s="16">
        <v>1196</v>
      </c>
      <c r="L388" s="6"/>
      <c r="M388" s="31"/>
      <c r="N388" s="11">
        <f t="shared" si="135"/>
        <v>1196</v>
      </c>
    </row>
    <row r="389" spans="1:14" x14ac:dyDescent="0.25">
      <c r="A389" s="6" t="s">
        <v>885</v>
      </c>
      <c r="B389" s="7">
        <f t="shared" ca="1" si="122"/>
        <v>137</v>
      </c>
      <c r="C389" s="7"/>
      <c r="D389" s="7"/>
      <c r="E389" s="7"/>
      <c r="F389" s="7" t="s">
        <v>1184</v>
      </c>
      <c r="G389" s="6" t="s">
        <v>886</v>
      </c>
      <c r="H389" s="7" t="s">
        <v>13</v>
      </c>
      <c r="I389" s="8" t="s">
        <v>66</v>
      </c>
      <c r="J389" s="9">
        <v>4611.96</v>
      </c>
      <c r="K389" s="16">
        <v>1196</v>
      </c>
      <c r="L389" s="6"/>
      <c r="M389" s="31"/>
      <c r="N389" s="11">
        <f t="shared" si="135"/>
        <v>1196</v>
      </c>
    </row>
    <row r="390" spans="1:14" x14ac:dyDescent="0.25">
      <c r="A390" s="6" t="s">
        <v>887</v>
      </c>
      <c r="B390" s="6"/>
      <c r="C390" s="6"/>
      <c r="D390" s="6"/>
      <c r="E390" s="6"/>
      <c r="F390" s="7" t="s">
        <v>1184</v>
      </c>
      <c r="G390" s="6" t="s">
        <v>888</v>
      </c>
      <c r="H390" s="7" t="s">
        <v>13</v>
      </c>
      <c r="I390" s="8" t="s">
        <v>319</v>
      </c>
      <c r="J390" s="9">
        <v>6681.96</v>
      </c>
      <c r="K390" s="16">
        <v>1196</v>
      </c>
      <c r="L390" s="6"/>
      <c r="M390" s="31"/>
      <c r="N390" s="11">
        <f>K390</f>
        <v>1196</v>
      </c>
    </row>
    <row r="391" spans="1:14" x14ac:dyDescent="0.25">
      <c r="A391" s="6" t="s">
        <v>889</v>
      </c>
      <c r="B391" s="7">
        <f t="shared" ref="B391:B403" ca="1" si="136">$I$1-I391</f>
        <v>88</v>
      </c>
      <c r="C391" s="7">
        <v>3</v>
      </c>
      <c r="D391" s="10">
        <v>99.9</v>
      </c>
      <c r="E391" s="10">
        <f t="shared" ref="E391:E396" si="137">D391*C391</f>
        <v>299.70000000000005</v>
      </c>
      <c r="F391" s="7" t="s">
        <v>1184</v>
      </c>
      <c r="G391" s="6" t="s">
        <v>890</v>
      </c>
      <c r="H391" s="7" t="s">
        <v>1197</v>
      </c>
      <c r="I391" s="8" t="s">
        <v>416</v>
      </c>
      <c r="J391" s="9">
        <v>7581.96</v>
      </c>
      <c r="K391" s="16">
        <v>1196</v>
      </c>
      <c r="L391" s="11">
        <f t="shared" ref="L391:L396" si="138">E391</f>
        <v>299.70000000000005</v>
      </c>
      <c r="M391" s="31">
        <f>Tabela2[[#This Row],[R$TOTAL FÉRIAS FACIL ]]-Tabela2[[#This Row],[R$ PARCELADO]]</f>
        <v>896.3</v>
      </c>
      <c r="N391" s="6"/>
    </row>
    <row r="392" spans="1:14" x14ac:dyDescent="0.25">
      <c r="A392" s="6" t="s">
        <v>891</v>
      </c>
      <c r="B392" s="7">
        <f t="shared" ca="1" si="136"/>
        <v>130</v>
      </c>
      <c r="C392" s="12">
        <v>4</v>
      </c>
      <c r="D392" s="10">
        <v>99.9</v>
      </c>
      <c r="E392" s="10">
        <f t="shared" si="137"/>
        <v>399.6</v>
      </c>
      <c r="F392" s="7" t="s">
        <v>1184</v>
      </c>
      <c r="G392" s="6" t="s">
        <v>892</v>
      </c>
      <c r="H392" s="7" t="s">
        <v>1197</v>
      </c>
      <c r="I392" s="8" t="s">
        <v>319</v>
      </c>
      <c r="J392" s="9">
        <v>6681.96</v>
      </c>
      <c r="K392" s="16">
        <v>1196</v>
      </c>
      <c r="L392" s="11">
        <f t="shared" si="138"/>
        <v>399.6</v>
      </c>
      <c r="M392" s="31">
        <f>Tabela2[[#This Row],[R$TOTAL FÉRIAS FACIL ]]-Tabela2[[#This Row],[R$ PARCELADO]]</f>
        <v>796.4</v>
      </c>
      <c r="N392" s="6"/>
    </row>
    <row r="393" spans="1:14" x14ac:dyDescent="0.25">
      <c r="A393" s="6" t="s">
        <v>893</v>
      </c>
      <c r="B393" s="7">
        <f t="shared" ca="1" si="136"/>
        <v>124</v>
      </c>
      <c r="C393" s="12">
        <v>4</v>
      </c>
      <c r="D393" s="10">
        <v>99.9</v>
      </c>
      <c r="E393" s="10">
        <f t="shared" si="137"/>
        <v>399.6</v>
      </c>
      <c r="F393" s="7" t="s">
        <v>1184</v>
      </c>
      <c r="G393" s="6" t="s">
        <v>894</v>
      </c>
      <c r="H393" s="7" t="s">
        <v>1197</v>
      </c>
      <c r="I393" s="8" t="s">
        <v>78</v>
      </c>
      <c r="J393" s="9">
        <v>7581.96</v>
      </c>
      <c r="K393" s="16">
        <v>1196</v>
      </c>
      <c r="L393" s="11">
        <f t="shared" si="138"/>
        <v>399.6</v>
      </c>
      <c r="M393" s="31">
        <f>Tabela2[[#This Row],[R$TOTAL FÉRIAS FACIL ]]-Tabela2[[#This Row],[R$ PARCELADO]]</f>
        <v>796.4</v>
      </c>
      <c r="N393" s="6"/>
    </row>
    <row r="394" spans="1:14" x14ac:dyDescent="0.25">
      <c r="A394" s="6" t="s">
        <v>895</v>
      </c>
      <c r="B394" s="7">
        <f t="shared" ca="1" si="136"/>
        <v>129</v>
      </c>
      <c r="C394" s="12">
        <v>4</v>
      </c>
      <c r="D394" s="10">
        <v>99.9</v>
      </c>
      <c r="E394" s="10">
        <f t="shared" si="137"/>
        <v>399.6</v>
      </c>
      <c r="F394" s="7" t="s">
        <v>1184</v>
      </c>
      <c r="G394" s="6" t="s">
        <v>896</v>
      </c>
      <c r="H394" s="7" t="s">
        <v>1197</v>
      </c>
      <c r="I394" s="8" t="s">
        <v>293</v>
      </c>
      <c r="J394" s="9">
        <v>6681.96</v>
      </c>
      <c r="K394" s="16">
        <v>1196</v>
      </c>
      <c r="L394" s="11">
        <f t="shared" si="138"/>
        <v>399.6</v>
      </c>
      <c r="M394" s="31">
        <f>Tabela2[[#This Row],[R$TOTAL FÉRIAS FACIL ]]-Tabela2[[#This Row],[R$ PARCELADO]]</f>
        <v>796.4</v>
      </c>
      <c r="N394" s="6"/>
    </row>
    <row r="395" spans="1:14" x14ac:dyDescent="0.25">
      <c r="A395" s="6" t="s">
        <v>897</v>
      </c>
      <c r="B395" s="7">
        <f t="shared" ca="1" si="136"/>
        <v>125</v>
      </c>
      <c r="C395" s="12">
        <v>4</v>
      </c>
      <c r="D395" s="10">
        <v>99.9</v>
      </c>
      <c r="E395" s="10">
        <f t="shared" si="137"/>
        <v>399.6</v>
      </c>
      <c r="F395" s="7" t="s">
        <v>1184</v>
      </c>
      <c r="G395" s="6" t="s">
        <v>898</v>
      </c>
      <c r="H395" s="7" t="s">
        <v>1197</v>
      </c>
      <c r="I395" s="8" t="s">
        <v>75</v>
      </c>
      <c r="J395" s="9">
        <v>7581.96</v>
      </c>
      <c r="K395" s="16">
        <v>1196</v>
      </c>
      <c r="L395" s="11">
        <f t="shared" si="138"/>
        <v>399.6</v>
      </c>
      <c r="M395" s="31">
        <f>Tabela2[[#This Row],[R$TOTAL FÉRIAS FACIL ]]-Tabela2[[#This Row],[R$ PARCELADO]]</f>
        <v>796.4</v>
      </c>
      <c r="N395" s="6"/>
    </row>
    <row r="396" spans="1:14" x14ac:dyDescent="0.25">
      <c r="A396" s="6" t="s">
        <v>899</v>
      </c>
      <c r="B396" s="7">
        <f t="shared" ca="1" si="136"/>
        <v>137</v>
      </c>
      <c r="C396" s="12">
        <v>5</v>
      </c>
      <c r="D396" s="10">
        <v>99.9</v>
      </c>
      <c r="E396" s="10">
        <f t="shared" si="137"/>
        <v>499.5</v>
      </c>
      <c r="F396" s="7" t="s">
        <v>1184</v>
      </c>
      <c r="G396" s="6" t="s">
        <v>900</v>
      </c>
      <c r="H396" s="7" t="s">
        <v>1197</v>
      </c>
      <c r="I396" s="8" t="s">
        <v>66</v>
      </c>
      <c r="J396" s="9">
        <v>6681.96</v>
      </c>
      <c r="K396" s="16">
        <v>1196</v>
      </c>
      <c r="L396" s="11">
        <f t="shared" si="138"/>
        <v>499.5</v>
      </c>
      <c r="M396" s="31">
        <f>Tabela2[[#This Row],[R$TOTAL FÉRIAS FACIL ]]-Tabela2[[#This Row],[R$ PARCELADO]]</f>
        <v>696.5</v>
      </c>
      <c r="N396" s="6"/>
    </row>
    <row r="397" spans="1:14" x14ac:dyDescent="0.25">
      <c r="A397" s="6" t="s">
        <v>901</v>
      </c>
      <c r="B397" s="7">
        <f t="shared" ca="1" si="136"/>
        <v>144</v>
      </c>
      <c r="C397" s="7"/>
      <c r="D397" s="7"/>
      <c r="E397" s="7"/>
      <c r="F397" s="7" t="s">
        <v>1184</v>
      </c>
      <c r="G397" s="6" t="s">
        <v>902</v>
      </c>
      <c r="H397" s="7" t="s">
        <v>13</v>
      </c>
      <c r="I397" s="8" t="s">
        <v>612</v>
      </c>
      <c r="J397" s="9">
        <v>4188</v>
      </c>
      <c r="K397" s="16">
        <v>1196</v>
      </c>
      <c r="L397" s="6"/>
      <c r="M397" s="31"/>
      <c r="N397" s="11">
        <f>K397</f>
        <v>1196</v>
      </c>
    </row>
    <row r="398" spans="1:14" x14ac:dyDescent="0.25">
      <c r="A398" s="6" t="s">
        <v>903</v>
      </c>
      <c r="B398" s="7">
        <f t="shared" ca="1" si="136"/>
        <v>122</v>
      </c>
      <c r="C398" s="12">
        <v>4</v>
      </c>
      <c r="D398" s="10">
        <v>99.9</v>
      </c>
      <c r="E398" s="10">
        <f t="shared" ref="E398:E399" si="139">D398*C398</f>
        <v>399.6</v>
      </c>
      <c r="F398" s="7" t="s">
        <v>1184</v>
      </c>
      <c r="G398" s="6" t="s">
        <v>904</v>
      </c>
      <c r="H398" s="7" t="s">
        <v>1197</v>
      </c>
      <c r="I398" s="8" t="s">
        <v>260</v>
      </c>
      <c r="J398" s="9">
        <v>6681.96</v>
      </c>
      <c r="K398" s="16">
        <v>1196</v>
      </c>
      <c r="L398" s="11">
        <f t="shared" ref="L398:L399" si="140">E398</f>
        <v>399.6</v>
      </c>
      <c r="M398" s="31">
        <f>Tabela2[[#This Row],[R$TOTAL FÉRIAS FACIL ]]-Tabela2[[#This Row],[R$ PARCELADO]]</f>
        <v>796.4</v>
      </c>
      <c r="N398" s="6"/>
    </row>
    <row r="399" spans="1:14" x14ac:dyDescent="0.25">
      <c r="A399" s="6" t="s">
        <v>905</v>
      </c>
      <c r="B399" s="7">
        <f t="shared" ca="1" si="136"/>
        <v>144</v>
      </c>
      <c r="C399" s="12">
        <v>5</v>
      </c>
      <c r="D399" s="10">
        <v>99.9</v>
      </c>
      <c r="E399" s="10">
        <f t="shared" si="139"/>
        <v>499.5</v>
      </c>
      <c r="F399" s="7" t="s">
        <v>1184</v>
      </c>
      <c r="G399" s="6" t="s">
        <v>906</v>
      </c>
      <c r="H399" s="7" t="s">
        <v>1197</v>
      </c>
      <c r="I399" s="8" t="s">
        <v>612</v>
      </c>
      <c r="J399" s="9">
        <v>6681.96</v>
      </c>
      <c r="K399" s="16">
        <v>1196</v>
      </c>
      <c r="L399" s="11">
        <f t="shared" si="140"/>
        <v>499.5</v>
      </c>
      <c r="M399" s="31">
        <f>Tabela2[[#This Row],[R$TOTAL FÉRIAS FACIL ]]-Tabela2[[#This Row],[R$ PARCELADO]]</f>
        <v>696.5</v>
      </c>
      <c r="N399" s="6"/>
    </row>
    <row r="400" spans="1:14" x14ac:dyDescent="0.25">
      <c r="A400" s="6" t="s">
        <v>907</v>
      </c>
      <c r="B400" s="7">
        <f t="shared" ca="1" si="136"/>
        <v>141</v>
      </c>
      <c r="C400" s="7"/>
      <c r="D400" s="7"/>
      <c r="E400" s="7"/>
      <c r="F400" s="7" t="s">
        <v>1184</v>
      </c>
      <c r="G400" s="6" t="s">
        <v>908</v>
      </c>
      <c r="H400" s="7" t="s">
        <v>13</v>
      </c>
      <c r="I400" s="8" t="s">
        <v>53</v>
      </c>
      <c r="J400" s="9">
        <v>4188</v>
      </c>
      <c r="K400" s="16">
        <v>1196</v>
      </c>
      <c r="L400" s="6"/>
      <c r="M400" s="31"/>
      <c r="N400" s="11">
        <f t="shared" ref="N400:N401" si="141">K400</f>
        <v>1196</v>
      </c>
    </row>
    <row r="401" spans="1:14" x14ac:dyDescent="0.25">
      <c r="A401" s="6" t="s">
        <v>909</v>
      </c>
      <c r="B401" s="7">
        <f t="shared" ca="1" si="136"/>
        <v>114</v>
      </c>
      <c r="C401" s="7"/>
      <c r="D401" s="7"/>
      <c r="E401" s="7"/>
      <c r="F401" s="7" t="s">
        <v>1184</v>
      </c>
      <c r="G401" s="6" t="s">
        <v>910</v>
      </c>
      <c r="H401" s="7" t="s">
        <v>13</v>
      </c>
      <c r="I401" s="8" t="s">
        <v>10</v>
      </c>
      <c r="J401" s="9">
        <v>4842.54</v>
      </c>
      <c r="K401" s="16">
        <v>1196</v>
      </c>
      <c r="L401" s="6"/>
      <c r="M401" s="31"/>
      <c r="N401" s="11">
        <f t="shared" si="141"/>
        <v>1196</v>
      </c>
    </row>
    <row r="402" spans="1:14" x14ac:dyDescent="0.25">
      <c r="A402" s="6" t="s">
        <v>911</v>
      </c>
      <c r="B402" s="7">
        <f t="shared" ca="1" si="136"/>
        <v>116</v>
      </c>
      <c r="C402" s="12">
        <v>4</v>
      </c>
      <c r="D402" s="10">
        <v>99.9</v>
      </c>
      <c r="E402" s="10">
        <f>D402*C402</f>
        <v>399.6</v>
      </c>
      <c r="F402" s="7" t="s">
        <v>1184</v>
      </c>
      <c r="G402" s="6" t="s">
        <v>912</v>
      </c>
      <c r="H402" s="7" t="s">
        <v>1197</v>
      </c>
      <c r="I402" s="8" t="s">
        <v>226</v>
      </c>
      <c r="J402" s="9">
        <v>9081.9599999999991</v>
      </c>
      <c r="K402" s="16">
        <v>1196</v>
      </c>
      <c r="L402" s="11">
        <f>E402</f>
        <v>399.6</v>
      </c>
      <c r="M402" s="31">
        <f>Tabela2[[#This Row],[R$TOTAL FÉRIAS FACIL ]]-Tabela2[[#This Row],[R$ PARCELADO]]</f>
        <v>796.4</v>
      </c>
      <c r="N402" s="6"/>
    </row>
    <row r="403" spans="1:14" x14ac:dyDescent="0.25">
      <c r="A403" s="6" t="s">
        <v>913</v>
      </c>
      <c r="B403" s="7">
        <f t="shared" ca="1" si="136"/>
        <v>133</v>
      </c>
      <c r="C403" s="7"/>
      <c r="D403" s="7"/>
      <c r="E403" s="7"/>
      <c r="F403" s="7" t="s">
        <v>1184</v>
      </c>
      <c r="G403" s="6" t="s">
        <v>914</v>
      </c>
      <c r="H403" s="7" t="s">
        <v>13</v>
      </c>
      <c r="I403" s="8" t="s">
        <v>209</v>
      </c>
      <c r="J403" s="9">
        <v>4611.96</v>
      </c>
      <c r="K403" s="16">
        <v>1196</v>
      </c>
      <c r="L403" s="6"/>
      <c r="M403" s="31"/>
      <c r="N403" s="11">
        <f>K403</f>
        <v>1196</v>
      </c>
    </row>
    <row r="404" spans="1:14" x14ac:dyDescent="0.25">
      <c r="A404" s="6" t="s">
        <v>915</v>
      </c>
      <c r="B404" s="6"/>
      <c r="C404" s="6"/>
      <c r="D404" s="6"/>
      <c r="E404" s="6"/>
      <c r="F404" s="7" t="s">
        <v>1184</v>
      </c>
      <c r="G404" s="6" t="s">
        <v>916</v>
      </c>
      <c r="H404" s="7" t="s">
        <v>13</v>
      </c>
      <c r="I404" s="8" t="s">
        <v>128</v>
      </c>
      <c r="J404" s="9">
        <v>6681.96</v>
      </c>
      <c r="K404" s="16">
        <v>1196</v>
      </c>
      <c r="L404" s="6"/>
      <c r="M404" s="31"/>
      <c r="N404" s="11">
        <f>K404</f>
        <v>1196</v>
      </c>
    </row>
    <row r="405" spans="1:14" x14ac:dyDescent="0.25">
      <c r="A405" s="6" t="s">
        <v>917</v>
      </c>
      <c r="B405" s="7">
        <f ca="1">$I$1-I405</f>
        <v>129</v>
      </c>
      <c r="C405" s="12">
        <v>4</v>
      </c>
      <c r="D405" s="10">
        <v>99.9</v>
      </c>
      <c r="E405" s="10">
        <f>D405*C405</f>
        <v>399.6</v>
      </c>
      <c r="F405" s="7" t="s">
        <v>1184</v>
      </c>
      <c r="G405" s="6" t="s">
        <v>918</v>
      </c>
      <c r="H405" s="7" t="s">
        <v>1197</v>
      </c>
      <c r="I405" s="8" t="s">
        <v>293</v>
      </c>
      <c r="J405" s="9">
        <v>6681.96</v>
      </c>
      <c r="K405" s="16">
        <v>1196</v>
      </c>
      <c r="L405" s="11">
        <f>E405</f>
        <v>399.6</v>
      </c>
      <c r="M405" s="31">
        <f>Tabela2[[#This Row],[R$TOTAL FÉRIAS FACIL ]]-Tabela2[[#This Row],[R$ PARCELADO]]</f>
        <v>796.4</v>
      </c>
      <c r="N405" s="6"/>
    </row>
    <row r="406" spans="1:14" x14ac:dyDescent="0.25">
      <c r="A406" s="6" t="s">
        <v>919</v>
      </c>
      <c r="B406" s="6"/>
      <c r="C406" s="6"/>
      <c r="D406" s="6"/>
      <c r="E406" s="6"/>
      <c r="F406" s="7" t="s">
        <v>1184</v>
      </c>
      <c r="G406" s="6" t="s">
        <v>920</v>
      </c>
      <c r="H406" s="7" t="s">
        <v>13</v>
      </c>
      <c r="I406" s="8" t="s">
        <v>146</v>
      </c>
      <c r="J406" s="9">
        <v>4611.96</v>
      </c>
      <c r="K406" s="16">
        <v>1196</v>
      </c>
      <c r="L406" s="6"/>
      <c r="M406" s="31"/>
      <c r="N406" s="11">
        <f>K406</f>
        <v>1196</v>
      </c>
    </row>
    <row r="407" spans="1:14" x14ac:dyDescent="0.25">
      <c r="A407" s="6" t="s">
        <v>921</v>
      </c>
      <c r="B407" s="7">
        <f ca="1">$I$1-I407</f>
        <v>125</v>
      </c>
      <c r="C407" s="12">
        <v>4</v>
      </c>
      <c r="D407" s="10">
        <v>99.9</v>
      </c>
      <c r="E407" s="10">
        <f>D407*C407</f>
        <v>399.6</v>
      </c>
      <c r="F407" s="7" t="s">
        <v>1184</v>
      </c>
      <c r="G407" s="6" t="s">
        <v>922</v>
      </c>
      <c r="H407" s="7" t="s">
        <v>1197</v>
      </c>
      <c r="I407" s="8" t="s">
        <v>75</v>
      </c>
      <c r="J407" s="9">
        <v>6681.96</v>
      </c>
      <c r="K407" s="16">
        <v>1196</v>
      </c>
      <c r="L407" s="11">
        <f>E407</f>
        <v>399.6</v>
      </c>
      <c r="M407" s="31">
        <f>Tabela2[[#This Row],[R$TOTAL FÉRIAS FACIL ]]-Tabela2[[#This Row],[R$ PARCELADO]]</f>
        <v>796.4</v>
      </c>
      <c r="N407" s="6"/>
    </row>
    <row r="408" spans="1:14" x14ac:dyDescent="0.25">
      <c r="A408" s="6" t="s">
        <v>923</v>
      </c>
      <c r="B408" s="7">
        <f ca="1">$I$1-I408</f>
        <v>83</v>
      </c>
      <c r="C408" s="7"/>
      <c r="D408" s="7"/>
      <c r="E408" s="7"/>
      <c r="F408" s="7" t="s">
        <v>1184</v>
      </c>
      <c r="G408" s="6" t="s">
        <v>924</v>
      </c>
      <c r="H408" s="7" t="s">
        <v>13</v>
      </c>
      <c r="I408" s="8" t="s">
        <v>135</v>
      </c>
      <c r="J408" s="9">
        <v>4842.54</v>
      </c>
      <c r="K408" s="16">
        <v>1196</v>
      </c>
      <c r="L408" s="6"/>
      <c r="M408" s="31"/>
      <c r="N408" s="11">
        <f t="shared" ref="N408:N409" si="142">K408</f>
        <v>1196</v>
      </c>
    </row>
    <row r="409" spans="1:14" x14ac:dyDescent="0.25">
      <c r="A409" s="6" t="s">
        <v>925</v>
      </c>
      <c r="B409" s="7">
        <f ca="1">$I$1-I409</f>
        <v>88</v>
      </c>
      <c r="C409" s="7"/>
      <c r="D409" s="7"/>
      <c r="E409" s="7"/>
      <c r="F409" s="7" t="s">
        <v>1184</v>
      </c>
      <c r="G409" s="6" t="s">
        <v>926</v>
      </c>
      <c r="H409" s="7" t="s">
        <v>13</v>
      </c>
      <c r="I409" s="8" t="s">
        <v>416</v>
      </c>
      <c r="J409" s="9">
        <v>5811.96</v>
      </c>
      <c r="K409" s="16">
        <v>1196</v>
      </c>
      <c r="L409" s="6"/>
      <c r="M409" s="31"/>
      <c r="N409" s="11">
        <f t="shared" si="142"/>
        <v>1196</v>
      </c>
    </row>
    <row r="410" spans="1:14" x14ac:dyDescent="0.25">
      <c r="A410" s="6" t="s">
        <v>927</v>
      </c>
      <c r="B410" s="7">
        <f ca="1">$I$1-I410</f>
        <v>115</v>
      </c>
      <c r="C410" s="12">
        <v>4</v>
      </c>
      <c r="D410" s="10">
        <v>99.9</v>
      </c>
      <c r="E410" s="10">
        <f>D410*C410</f>
        <v>399.6</v>
      </c>
      <c r="F410" s="7" t="s">
        <v>1184</v>
      </c>
      <c r="G410" s="6" t="s">
        <v>928</v>
      </c>
      <c r="H410" s="7" t="s">
        <v>1197</v>
      </c>
      <c r="I410" s="8" t="s">
        <v>273</v>
      </c>
      <c r="J410" s="9">
        <v>7581.96</v>
      </c>
      <c r="K410" s="16">
        <v>1196</v>
      </c>
      <c r="L410" s="11">
        <f>E410</f>
        <v>399.6</v>
      </c>
      <c r="M410" s="31">
        <f>Tabela2[[#This Row],[R$TOTAL FÉRIAS FACIL ]]-Tabela2[[#This Row],[R$ PARCELADO]]</f>
        <v>796.4</v>
      </c>
      <c r="N410" s="6"/>
    </row>
    <row r="411" spans="1:14" x14ac:dyDescent="0.25">
      <c r="A411" s="6" t="s">
        <v>929</v>
      </c>
      <c r="B411" s="6"/>
      <c r="C411" s="6"/>
      <c r="D411" s="6"/>
      <c r="E411" s="6"/>
      <c r="F411" s="7" t="s">
        <v>1184</v>
      </c>
      <c r="G411" s="6" t="s">
        <v>930</v>
      </c>
      <c r="H411" s="7" t="s">
        <v>13</v>
      </c>
      <c r="I411" s="8" t="s">
        <v>931</v>
      </c>
      <c r="J411" s="9">
        <v>6681.96</v>
      </c>
      <c r="K411" s="16">
        <v>1196</v>
      </c>
      <c r="L411" s="6"/>
      <c r="M411" s="31"/>
      <c r="N411" s="11">
        <f t="shared" ref="N411:N415" si="143">K411</f>
        <v>1196</v>
      </c>
    </row>
    <row r="412" spans="1:14" x14ac:dyDescent="0.25">
      <c r="A412" s="6" t="s">
        <v>932</v>
      </c>
      <c r="B412" s="6"/>
      <c r="C412" s="6"/>
      <c r="D412" s="6"/>
      <c r="E412" s="6"/>
      <c r="F412" s="7" t="s">
        <v>1184</v>
      </c>
      <c r="G412" s="6" t="s">
        <v>933</v>
      </c>
      <c r="H412" s="7" t="s">
        <v>13</v>
      </c>
      <c r="I412" s="8" t="s">
        <v>133</v>
      </c>
      <c r="J412" s="9">
        <v>6579.99</v>
      </c>
      <c r="K412" s="16">
        <v>1196</v>
      </c>
      <c r="L412" s="6"/>
      <c r="M412" s="31"/>
      <c r="N412" s="11">
        <f t="shared" si="143"/>
        <v>1196</v>
      </c>
    </row>
    <row r="413" spans="1:14" x14ac:dyDescent="0.25">
      <c r="A413" s="6" t="s">
        <v>934</v>
      </c>
      <c r="B413" s="7">
        <f t="shared" ref="B413:B430" ca="1" si="144">$I$1-I413</f>
        <v>135</v>
      </c>
      <c r="C413" s="7"/>
      <c r="D413" s="7"/>
      <c r="E413" s="7"/>
      <c r="F413" s="7" t="s">
        <v>1184</v>
      </c>
      <c r="G413" s="6" t="s">
        <v>935</v>
      </c>
      <c r="H413" s="7" t="s">
        <v>13</v>
      </c>
      <c r="I413" s="8" t="s">
        <v>146</v>
      </c>
      <c r="J413" s="9">
        <v>4188</v>
      </c>
      <c r="K413" s="16">
        <v>1196</v>
      </c>
      <c r="L413" s="6"/>
      <c r="M413" s="31"/>
      <c r="N413" s="11">
        <f t="shared" si="143"/>
        <v>1196</v>
      </c>
    </row>
    <row r="414" spans="1:14" x14ac:dyDescent="0.25">
      <c r="A414" s="6" t="s">
        <v>936</v>
      </c>
      <c r="B414" s="7">
        <f t="shared" ca="1" si="144"/>
        <v>129</v>
      </c>
      <c r="C414" s="7"/>
      <c r="D414" s="7"/>
      <c r="E414" s="7"/>
      <c r="F414" s="7" t="s">
        <v>1184</v>
      </c>
      <c r="G414" s="6" t="s">
        <v>937</v>
      </c>
      <c r="H414" s="7" t="s">
        <v>13</v>
      </c>
      <c r="I414" s="8" t="s">
        <v>293</v>
      </c>
      <c r="J414" s="9">
        <v>4611.96</v>
      </c>
      <c r="K414" s="16">
        <v>1196</v>
      </c>
      <c r="L414" s="6"/>
      <c r="M414" s="31"/>
      <c r="N414" s="11">
        <f t="shared" si="143"/>
        <v>1196</v>
      </c>
    </row>
    <row r="415" spans="1:14" x14ac:dyDescent="0.25">
      <c r="A415" s="6" t="s">
        <v>938</v>
      </c>
      <c r="B415" s="7">
        <f t="shared" ca="1" si="144"/>
        <v>119</v>
      </c>
      <c r="C415" s="7"/>
      <c r="D415" s="7"/>
      <c r="E415" s="7"/>
      <c r="F415" s="7" t="s">
        <v>1184</v>
      </c>
      <c r="G415" s="6" t="s">
        <v>939</v>
      </c>
      <c r="H415" s="7" t="s">
        <v>13</v>
      </c>
      <c r="I415" s="8" t="s">
        <v>235</v>
      </c>
      <c r="J415" s="9">
        <v>4842.54</v>
      </c>
      <c r="K415" s="16">
        <v>1196</v>
      </c>
      <c r="L415" s="6"/>
      <c r="M415" s="31"/>
      <c r="N415" s="11">
        <f t="shared" si="143"/>
        <v>1196</v>
      </c>
    </row>
    <row r="416" spans="1:14" x14ac:dyDescent="0.25">
      <c r="A416" s="6" t="s">
        <v>940</v>
      </c>
      <c r="B416" s="7">
        <f t="shared" ca="1" si="144"/>
        <v>111</v>
      </c>
      <c r="C416" s="12">
        <v>4</v>
      </c>
      <c r="D416" s="10">
        <v>99.9</v>
      </c>
      <c r="E416" s="10">
        <f t="shared" ref="E416:E422" si="145">D416*C416</f>
        <v>399.6</v>
      </c>
      <c r="F416" s="7" t="s">
        <v>1184</v>
      </c>
      <c r="G416" s="6" t="s">
        <v>941</v>
      </c>
      <c r="H416" s="7" t="s">
        <v>1197</v>
      </c>
      <c r="I416" s="8" t="s">
        <v>91</v>
      </c>
      <c r="J416" s="9">
        <v>6681.96</v>
      </c>
      <c r="K416" s="16">
        <v>1196</v>
      </c>
      <c r="L416" s="11">
        <f t="shared" ref="L416:L422" si="146">E416</f>
        <v>399.6</v>
      </c>
      <c r="M416" s="31">
        <f>Tabela2[[#This Row],[R$TOTAL FÉRIAS FACIL ]]-Tabela2[[#This Row],[R$ PARCELADO]]</f>
        <v>796.4</v>
      </c>
      <c r="N416" s="6"/>
    </row>
    <row r="417" spans="1:14" x14ac:dyDescent="0.25">
      <c r="A417" s="6" t="s">
        <v>942</v>
      </c>
      <c r="B417" s="7">
        <f t="shared" ca="1" si="144"/>
        <v>129</v>
      </c>
      <c r="C417" s="12">
        <v>4</v>
      </c>
      <c r="D417" s="10">
        <v>99.9</v>
      </c>
      <c r="E417" s="10">
        <f t="shared" si="145"/>
        <v>399.6</v>
      </c>
      <c r="F417" s="7" t="s">
        <v>1184</v>
      </c>
      <c r="G417" s="6" t="s">
        <v>943</v>
      </c>
      <c r="H417" s="7" t="s">
        <v>1197</v>
      </c>
      <c r="I417" s="8" t="s">
        <v>293</v>
      </c>
      <c r="J417" s="9">
        <v>6681.96</v>
      </c>
      <c r="K417" s="16">
        <v>1196</v>
      </c>
      <c r="L417" s="11">
        <f t="shared" si="146"/>
        <v>399.6</v>
      </c>
      <c r="M417" s="31">
        <f>Tabela2[[#This Row],[R$TOTAL FÉRIAS FACIL ]]-Tabela2[[#This Row],[R$ PARCELADO]]</f>
        <v>796.4</v>
      </c>
      <c r="N417" s="6"/>
    </row>
    <row r="418" spans="1:14" x14ac:dyDescent="0.25">
      <c r="A418" s="6" t="s">
        <v>944</v>
      </c>
      <c r="B418" s="7">
        <f t="shared" ca="1" si="144"/>
        <v>111</v>
      </c>
      <c r="C418" s="12">
        <v>4</v>
      </c>
      <c r="D418" s="10">
        <v>99.9</v>
      </c>
      <c r="E418" s="10">
        <f t="shared" si="145"/>
        <v>399.6</v>
      </c>
      <c r="F418" s="7" t="s">
        <v>1184</v>
      </c>
      <c r="G418" s="6" t="s">
        <v>945</v>
      </c>
      <c r="H418" s="7" t="s">
        <v>1197</v>
      </c>
      <c r="I418" s="8" t="s">
        <v>91</v>
      </c>
      <c r="J418" s="9">
        <v>6681.96</v>
      </c>
      <c r="K418" s="16">
        <v>1196</v>
      </c>
      <c r="L418" s="11">
        <f t="shared" si="146"/>
        <v>399.6</v>
      </c>
      <c r="M418" s="31">
        <f>Tabela2[[#This Row],[R$TOTAL FÉRIAS FACIL ]]-Tabela2[[#This Row],[R$ PARCELADO]]</f>
        <v>796.4</v>
      </c>
      <c r="N418" s="6"/>
    </row>
    <row r="419" spans="1:14" x14ac:dyDescent="0.25">
      <c r="A419" s="6" t="s">
        <v>946</v>
      </c>
      <c r="B419" s="7">
        <f t="shared" ca="1" si="144"/>
        <v>88</v>
      </c>
      <c r="C419" s="7">
        <v>3</v>
      </c>
      <c r="D419" s="10">
        <v>99.9</v>
      </c>
      <c r="E419" s="10">
        <f t="shared" si="145"/>
        <v>299.70000000000005</v>
      </c>
      <c r="F419" s="7" t="s">
        <v>1184</v>
      </c>
      <c r="G419" s="6" t="s">
        <v>947</v>
      </c>
      <c r="H419" s="7" t="s">
        <v>1197</v>
      </c>
      <c r="I419" s="8" t="s">
        <v>416</v>
      </c>
      <c r="J419" s="9">
        <v>7581.96</v>
      </c>
      <c r="K419" s="16">
        <v>1196</v>
      </c>
      <c r="L419" s="11">
        <f t="shared" si="146"/>
        <v>299.70000000000005</v>
      </c>
      <c r="M419" s="31">
        <f>Tabela2[[#This Row],[R$TOTAL FÉRIAS FACIL ]]-Tabela2[[#This Row],[R$ PARCELADO]]</f>
        <v>896.3</v>
      </c>
      <c r="N419" s="6"/>
    </row>
    <row r="420" spans="1:14" x14ac:dyDescent="0.25">
      <c r="A420" s="6" t="s">
        <v>948</v>
      </c>
      <c r="B420" s="7">
        <f t="shared" ca="1" si="144"/>
        <v>106</v>
      </c>
      <c r="C420" s="12">
        <v>4</v>
      </c>
      <c r="D420" s="10">
        <v>99.9</v>
      </c>
      <c r="E420" s="10">
        <f t="shared" si="145"/>
        <v>399.6</v>
      </c>
      <c r="F420" s="7" t="s">
        <v>1184</v>
      </c>
      <c r="G420" s="6" t="s">
        <v>949</v>
      </c>
      <c r="H420" s="7" t="s">
        <v>1197</v>
      </c>
      <c r="I420" s="8" t="s">
        <v>96</v>
      </c>
      <c r="J420" s="9">
        <v>8781.9599999999991</v>
      </c>
      <c r="K420" s="16">
        <v>1196</v>
      </c>
      <c r="L420" s="11">
        <f t="shared" si="146"/>
        <v>399.6</v>
      </c>
      <c r="M420" s="31">
        <f>Tabela2[[#This Row],[R$TOTAL FÉRIAS FACIL ]]-Tabela2[[#This Row],[R$ PARCELADO]]</f>
        <v>796.4</v>
      </c>
      <c r="N420" s="6"/>
    </row>
    <row r="421" spans="1:14" x14ac:dyDescent="0.25">
      <c r="A421" s="6" t="s">
        <v>950</v>
      </c>
      <c r="B421" s="7">
        <f t="shared" ca="1" si="144"/>
        <v>106</v>
      </c>
      <c r="C421" s="12">
        <v>4</v>
      </c>
      <c r="D421" s="10">
        <v>99.9</v>
      </c>
      <c r="E421" s="10">
        <f t="shared" si="145"/>
        <v>399.6</v>
      </c>
      <c r="F421" s="7" t="s">
        <v>1184</v>
      </c>
      <c r="G421" s="6" t="s">
        <v>951</v>
      </c>
      <c r="H421" s="7" t="s">
        <v>1197</v>
      </c>
      <c r="I421" s="8" t="s">
        <v>96</v>
      </c>
      <c r="J421" s="9">
        <v>6681.96</v>
      </c>
      <c r="K421" s="16">
        <v>1196</v>
      </c>
      <c r="L421" s="11">
        <f t="shared" si="146"/>
        <v>399.6</v>
      </c>
      <c r="M421" s="31">
        <f>Tabela2[[#This Row],[R$TOTAL FÉRIAS FACIL ]]-Tabela2[[#This Row],[R$ PARCELADO]]</f>
        <v>796.4</v>
      </c>
      <c r="N421" s="6"/>
    </row>
    <row r="422" spans="1:14" x14ac:dyDescent="0.25">
      <c r="A422" s="6" t="s">
        <v>952</v>
      </c>
      <c r="B422" s="7">
        <f t="shared" ca="1" si="144"/>
        <v>95</v>
      </c>
      <c r="C422" s="7">
        <v>3</v>
      </c>
      <c r="D422" s="10">
        <v>99.9</v>
      </c>
      <c r="E422" s="10">
        <f t="shared" si="145"/>
        <v>299.70000000000005</v>
      </c>
      <c r="F422" s="7" t="s">
        <v>1184</v>
      </c>
      <c r="G422" s="6" t="s">
        <v>953</v>
      </c>
      <c r="H422" s="7" t="s">
        <v>1197</v>
      </c>
      <c r="I422" s="8" t="s">
        <v>280</v>
      </c>
      <c r="J422" s="9">
        <v>6681.96</v>
      </c>
      <c r="K422" s="16">
        <v>1196</v>
      </c>
      <c r="L422" s="11">
        <f t="shared" si="146"/>
        <v>299.70000000000005</v>
      </c>
      <c r="M422" s="31">
        <f>Tabela2[[#This Row],[R$TOTAL FÉRIAS FACIL ]]-Tabela2[[#This Row],[R$ PARCELADO]]</f>
        <v>896.3</v>
      </c>
      <c r="N422" s="6"/>
    </row>
    <row r="423" spans="1:14" x14ac:dyDescent="0.25">
      <c r="A423" s="6" t="s">
        <v>954</v>
      </c>
      <c r="B423" s="7">
        <f t="shared" ca="1" si="144"/>
        <v>107</v>
      </c>
      <c r="C423" s="7"/>
      <c r="D423" s="7"/>
      <c r="E423" s="7"/>
      <c r="F423" s="7" t="s">
        <v>1184</v>
      </c>
      <c r="G423" s="6" t="s">
        <v>955</v>
      </c>
      <c r="H423" s="7" t="s">
        <v>13</v>
      </c>
      <c r="I423" s="8" t="s">
        <v>93</v>
      </c>
      <c r="J423" s="9">
        <v>4611.96</v>
      </c>
      <c r="K423" s="16">
        <v>1196</v>
      </c>
      <c r="L423" s="6"/>
      <c r="M423" s="31"/>
      <c r="N423" s="11">
        <f>K423</f>
        <v>1196</v>
      </c>
    </row>
    <row r="424" spans="1:14" x14ac:dyDescent="0.25">
      <c r="A424" s="6" t="s">
        <v>956</v>
      </c>
      <c r="B424" s="7">
        <f t="shared" ca="1" si="144"/>
        <v>116</v>
      </c>
      <c r="C424" s="12">
        <v>4</v>
      </c>
      <c r="D424" s="10">
        <v>99.9</v>
      </c>
      <c r="E424" s="10">
        <f t="shared" ref="E424:E425" si="147">D424*C424</f>
        <v>399.6</v>
      </c>
      <c r="F424" s="7" t="s">
        <v>1184</v>
      </c>
      <c r="G424" s="6" t="s">
        <v>957</v>
      </c>
      <c r="H424" s="7" t="s">
        <v>1197</v>
      </c>
      <c r="I424" s="8" t="s">
        <v>226</v>
      </c>
      <c r="J424" s="9">
        <v>7581.96</v>
      </c>
      <c r="K424" s="16">
        <v>1196</v>
      </c>
      <c r="L424" s="11">
        <f t="shared" ref="L424:L425" si="148">E424</f>
        <v>399.6</v>
      </c>
      <c r="M424" s="31">
        <f>Tabela2[[#This Row],[R$TOTAL FÉRIAS FACIL ]]-Tabela2[[#This Row],[R$ PARCELADO]]</f>
        <v>796.4</v>
      </c>
      <c r="N424" s="6"/>
    </row>
    <row r="425" spans="1:14" x14ac:dyDescent="0.25">
      <c r="A425" s="6" t="s">
        <v>958</v>
      </c>
      <c r="B425" s="7">
        <f t="shared" ca="1" si="144"/>
        <v>155</v>
      </c>
      <c r="C425" s="12">
        <v>5</v>
      </c>
      <c r="D425" s="10">
        <v>99.9</v>
      </c>
      <c r="E425" s="10">
        <f t="shared" si="147"/>
        <v>499.5</v>
      </c>
      <c r="F425" s="7" t="s">
        <v>1184</v>
      </c>
      <c r="G425" s="6" t="s">
        <v>959</v>
      </c>
      <c r="H425" s="7" t="s">
        <v>1197</v>
      </c>
      <c r="I425" s="8" t="s">
        <v>34</v>
      </c>
      <c r="J425" s="9">
        <v>6681.96</v>
      </c>
      <c r="K425" s="16">
        <v>1196</v>
      </c>
      <c r="L425" s="11">
        <f t="shared" si="148"/>
        <v>499.5</v>
      </c>
      <c r="M425" s="31">
        <f>Tabela2[[#This Row],[R$TOTAL FÉRIAS FACIL ]]-Tabela2[[#This Row],[R$ PARCELADO]]</f>
        <v>696.5</v>
      </c>
      <c r="N425" s="6"/>
    </row>
    <row r="426" spans="1:14" x14ac:dyDescent="0.25">
      <c r="A426" s="6" t="s">
        <v>960</v>
      </c>
      <c r="B426" s="7">
        <f t="shared" ca="1" si="144"/>
        <v>115</v>
      </c>
      <c r="C426" s="7"/>
      <c r="D426" s="7"/>
      <c r="E426" s="7"/>
      <c r="F426" s="7" t="s">
        <v>1184</v>
      </c>
      <c r="G426" s="6" t="s">
        <v>961</v>
      </c>
      <c r="H426" s="7" t="s">
        <v>13</v>
      </c>
      <c r="I426" s="8" t="s">
        <v>273</v>
      </c>
      <c r="J426" s="9">
        <v>4188</v>
      </c>
      <c r="K426" s="16">
        <v>1196</v>
      </c>
      <c r="L426" s="6"/>
      <c r="M426" s="31"/>
      <c r="N426" s="11">
        <f>K426</f>
        <v>1196</v>
      </c>
    </row>
    <row r="427" spans="1:14" x14ac:dyDescent="0.25">
      <c r="A427" s="6" t="s">
        <v>962</v>
      </c>
      <c r="B427" s="7">
        <f t="shared" ca="1" si="144"/>
        <v>113</v>
      </c>
      <c r="C427" s="12">
        <v>4</v>
      </c>
      <c r="D427" s="10">
        <v>99.9</v>
      </c>
      <c r="E427" s="10">
        <f t="shared" ref="E427:E428" si="149">D427*C427</f>
        <v>399.6</v>
      </c>
      <c r="F427" s="7" t="s">
        <v>1184</v>
      </c>
      <c r="G427" s="6" t="s">
        <v>963</v>
      </c>
      <c r="H427" s="7" t="s">
        <v>1197</v>
      </c>
      <c r="I427" s="8" t="s">
        <v>86</v>
      </c>
      <c r="J427" s="9">
        <v>6681.96</v>
      </c>
      <c r="K427" s="16">
        <v>1196</v>
      </c>
      <c r="L427" s="11">
        <f t="shared" ref="L427:L428" si="150">E427</f>
        <v>399.6</v>
      </c>
      <c r="M427" s="31">
        <f>Tabela2[[#This Row],[R$TOTAL FÉRIAS FACIL ]]-Tabela2[[#This Row],[R$ PARCELADO]]</f>
        <v>796.4</v>
      </c>
      <c r="N427" s="6"/>
    </row>
    <row r="428" spans="1:14" x14ac:dyDescent="0.25">
      <c r="A428" s="6" t="s">
        <v>964</v>
      </c>
      <c r="B428" s="7">
        <f t="shared" ca="1" si="144"/>
        <v>113</v>
      </c>
      <c r="C428" s="12">
        <v>4</v>
      </c>
      <c r="D428" s="10">
        <v>99.9</v>
      </c>
      <c r="E428" s="10">
        <f t="shared" si="149"/>
        <v>399.6</v>
      </c>
      <c r="F428" s="7" t="s">
        <v>1184</v>
      </c>
      <c r="G428" s="6" t="s">
        <v>965</v>
      </c>
      <c r="H428" s="7" t="s">
        <v>1197</v>
      </c>
      <c r="I428" s="8" t="s">
        <v>86</v>
      </c>
      <c r="J428" s="9">
        <v>6681.96</v>
      </c>
      <c r="K428" s="16">
        <v>1196</v>
      </c>
      <c r="L428" s="11">
        <f t="shared" si="150"/>
        <v>399.6</v>
      </c>
      <c r="M428" s="31">
        <f>Tabela2[[#This Row],[R$TOTAL FÉRIAS FACIL ]]-Tabela2[[#This Row],[R$ PARCELADO]]</f>
        <v>796.4</v>
      </c>
      <c r="N428" s="6"/>
    </row>
    <row r="429" spans="1:14" x14ac:dyDescent="0.25">
      <c r="A429" s="6" t="s">
        <v>966</v>
      </c>
      <c r="B429" s="7">
        <f t="shared" ca="1" si="144"/>
        <v>115</v>
      </c>
      <c r="C429" s="7"/>
      <c r="D429" s="7"/>
      <c r="E429" s="7"/>
      <c r="F429" s="7" t="s">
        <v>1184</v>
      </c>
      <c r="G429" s="6" t="s">
        <v>967</v>
      </c>
      <c r="H429" s="7" t="s">
        <v>13</v>
      </c>
      <c r="I429" s="8" t="s">
        <v>273</v>
      </c>
      <c r="J429" s="9">
        <v>4611.96</v>
      </c>
      <c r="K429" s="16">
        <v>1196</v>
      </c>
      <c r="L429" s="6"/>
      <c r="M429" s="31"/>
      <c r="N429" s="11">
        <f t="shared" ref="N429:N436" si="151">K429</f>
        <v>1196</v>
      </c>
    </row>
    <row r="430" spans="1:14" x14ac:dyDescent="0.25">
      <c r="A430" s="6" t="s">
        <v>968</v>
      </c>
      <c r="B430" s="7">
        <f t="shared" ca="1" si="144"/>
        <v>95</v>
      </c>
      <c r="C430" s="7"/>
      <c r="D430" s="7"/>
      <c r="E430" s="7"/>
      <c r="F430" s="7" t="s">
        <v>1184</v>
      </c>
      <c r="G430" s="6" t="s">
        <v>969</v>
      </c>
      <c r="H430" s="7" t="s">
        <v>13</v>
      </c>
      <c r="I430" s="8" t="s">
        <v>280</v>
      </c>
      <c r="J430" s="9">
        <v>4188</v>
      </c>
      <c r="K430" s="16">
        <v>1196</v>
      </c>
      <c r="L430" s="6"/>
      <c r="M430" s="31"/>
      <c r="N430" s="11">
        <f t="shared" si="151"/>
        <v>1196</v>
      </c>
    </row>
    <row r="431" spans="1:14" x14ac:dyDescent="0.25">
      <c r="A431" s="6" t="s">
        <v>970</v>
      </c>
      <c r="B431" s="6"/>
      <c r="C431" s="6"/>
      <c r="D431" s="6"/>
      <c r="E431" s="6"/>
      <c r="F431" s="7" t="s">
        <v>1184</v>
      </c>
      <c r="G431" s="6" t="s">
        <v>971</v>
      </c>
      <c r="H431" s="7" t="s">
        <v>13</v>
      </c>
      <c r="I431" s="8" t="s">
        <v>411</v>
      </c>
      <c r="J431" s="9">
        <v>6681.96</v>
      </c>
      <c r="K431" s="16">
        <v>1196</v>
      </c>
      <c r="L431" s="6"/>
      <c r="M431" s="31"/>
      <c r="N431" s="11">
        <f t="shared" si="151"/>
        <v>1196</v>
      </c>
    </row>
    <row r="432" spans="1:14" x14ac:dyDescent="0.25">
      <c r="A432" s="6" t="s">
        <v>972</v>
      </c>
      <c r="B432" s="6"/>
      <c r="C432" s="6"/>
      <c r="D432" s="6"/>
      <c r="E432" s="6"/>
      <c r="F432" s="7" t="s">
        <v>1184</v>
      </c>
      <c r="G432" s="6" t="s">
        <v>973</v>
      </c>
      <c r="H432" s="7" t="s">
        <v>13</v>
      </c>
      <c r="I432" s="8" t="s">
        <v>445</v>
      </c>
      <c r="J432" s="9">
        <v>6681.96</v>
      </c>
      <c r="K432" s="16">
        <v>1196</v>
      </c>
      <c r="L432" s="6"/>
      <c r="M432" s="31"/>
      <c r="N432" s="11">
        <f t="shared" si="151"/>
        <v>1196</v>
      </c>
    </row>
    <row r="433" spans="1:14" x14ac:dyDescent="0.25">
      <c r="A433" s="6" t="s">
        <v>974</v>
      </c>
      <c r="B433" s="6"/>
      <c r="C433" s="6"/>
      <c r="D433" s="6"/>
      <c r="E433" s="6"/>
      <c r="F433" s="7" t="s">
        <v>1184</v>
      </c>
      <c r="G433" s="6" t="s">
        <v>975</v>
      </c>
      <c r="H433" s="7" t="s">
        <v>13</v>
      </c>
      <c r="I433" s="8" t="s">
        <v>191</v>
      </c>
      <c r="J433" s="9">
        <v>6681.96</v>
      </c>
      <c r="K433" s="16">
        <v>1196</v>
      </c>
      <c r="L433" s="6"/>
      <c r="M433" s="31"/>
      <c r="N433" s="11">
        <f t="shared" si="151"/>
        <v>1196</v>
      </c>
    </row>
    <row r="434" spans="1:14" x14ac:dyDescent="0.25">
      <c r="A434" s="6" t="s">
        <v>976</v>
      </c>
      <c r="B434" s="7">
        <f t="shared" ref="B434:B439" ca="1" si="152">$I$1-I434</f>
        <v>109</v>
      </c>
      <c r="C434" s="7"/>
      <c r="D434" s="7"/>
      <c r="E434" s="7"/>
      <c r="F434" s="7" t="s">
        <v>1184</v>
      </c>
      <c r="G434" s="6" t="s">
        <v>977</v>
      </c>
      <c r="H434" s="7" t="s">
        <v>13</v>
      </c>
      <c r="I434" s="8" t="s">
        <v>301</v>
      </c>
      <c r="J434" s="9">
        <v>4611.96</v>
      </c>
      <c r="K434" s="16">
        <v>1196</v>
      </c>
      <c r="L434" s="6"/>
      <c r="M434" s="31"/>
      <c r="N434" s="11">
        <f t="shared" si="151"/>
        <v>1196</v>
      </c>
    </row>
    <row r="435" spans="1:14" x14ac:dyDescent="0.25">
      <c r="A435" s="6" t="s">
        <v>978</v>
      </c>
      <c r="B435" s="7">
        <f t="shared" ca="1" si="152"/>
        <v>96</v>
      </c>
      <c r="C435" s="7"/>
      <c r="D435" s="7"/>
      <c r="E435" s="7"/>
      <c r="F435" s="7" t="s">
        <v>1184</v>
      </c>
      <c r="G435" s="6" t="s">
        <v>979</v>
      </c>
      <c r="H435" s="7" t="s">
        <v>13</v>
      </c>
      <c r="I435" s="8" t="s">
        <v>112</v>
      </c>
      <c r="J435" s="9">
        <v>4611.96</v>
      </c>
      <c r="K435" s="16">
        <v>1196</v>
      </c>
      <c r="L435" s="6"/>
      <c r="M435" s="31"/>
      <c r="N435" s="11">
        <f t="shared" si="151"/>
        <v>1196</v>
      </c>
    </row>
    <row r="436" spans="1:14" x14ac:dyDescent="0.25">
      <c r="A436" s="6" t="s">
        <v>980</v>
      </c>
      <c r="B436" s="7">
        <f t="shared" ca="1" si="152"/>
        <v>131</v>
      </c>
      <c r="C436" s="7"/>
      <c r="D436" s="7"/>
      <c r="E436" s="7"/>
      <c r="F436" s="7" t="s">
        <v>1184</v>
      </c>
      <c r="G436" s="6" t="s">
        <v>981</v>
      </c>
      <c r="H436" s="7" t="s">
        <v>13</v>
      </c>
      <c r="I436" s="8" t="s">
        <v>6</v>
      </c>
      <c r="J436" s="9">
        <v>4611.96</v>
      </c>
      <c r="K436" s="16">
        <v>1196</v>
      </c>
      <c r="L436" s="6"/>
      <c r="M436" s="31"/>
      <c r="N436" s="11">
        <f t="shared" si="151"/>
        <v>1196</v>
      </c>
    </row>
    <row r="437" spans="1:14" x14ac:dyDescent="0.25">
      <c r="A437" s="6" t="s">
        <v>982</v>
      </c>
      <c r="B437" s="7">
        <f t="shared" ca="1" si="152"/>
        <v>109</v>
      </c>
      <c r="C437" s="12">
        <v>4</v>
      </c>
      <c r="D437" s="10">
        <v>99.9</v>
      </c>
      <c r="E437" s="10">
        <f t="shared" ref="E437:E439" si="153">D437*C437</f>
        <v>399.6</v>
      </c>
      <c r="F437" s="7" t="s">
        <v>1184</v>
      </c>
      <c r="G437" s="6" t="s">
        <v>983</v>
      </c>
      <c r="H437" s="7" t="s">
        <v>1197</v>
      </c>
      <c r="I437" s="8" t="s">
        <v>301</v>
      </c>
      <c r="J437" s="9">
        <v>6681.96</v>
      </c>
      <c r="K437" s="16">
        <v>1196</v>
      </c>
      <c r="L437" s="11">
        <f t="shared" ref="L437:L439" si="154">E437</f>
        <v>399.6</v>
      </c>
      <c r="M437" s="31">
        <f>Tabela2[[#This Row],[R$TOTAL FÉRIAS FACIL ]]-Tabela2[[#This Row],[R$ PARCELADO]]</f>
        <v>796.4</v>
      </c>
      <c r="N437" s="6"/>
    </row>
    <row r="438" spans="1:14" x14ac:dyDescent="0.25">
      <c r="A438" s="6" t="s">
        <v>984</v>
      </c>
      <c r="B438" s="7">
        <f t="shared" ca="1" si="152"/>
        <v>105</v>
      </c>
      <c r="C438" s="12">
        <v>4</v>
      </c>
      <c r="D438" s="10">
        <v>99.9</v>
      </c>
      <c r="E438" s="10">
        <f t="shared" si="153"/>
        <v>399.6</v>
      </c>
      <c r="F438" s="7" t="s">
        <v>1184</v>
      </c>
      <c r="G438" s="6" t="s">
        <v>985</v>
      </c>
      <c r="H438" s="7" t="s">
        <v>1197</v>
      </c>
      <c r="I438" s="8" t="s">
        <v>99</v>
      </c>
      <c r="J438" s="9">
        <v>6681.96</v>
      </c>
      <c r="K438" s="16">
        <v>1196</v>
      </c>
      <c r="L438" s="11">
        <f t="shared" si="154"/>
        <v>399.6</v>
      </c>
      <c r="M438" s="31">
        <f>Tabela2[[#This Row],[R$TOTAL FÉRIAS FACIL ]]-Tabela2[[#This Row],[R$ PARCELADO]]</f>
        <v>796.4</v>
      </c>
      <c r="N438" s="6"/>
    </row>
    <row r="439" spans="1:14" x14ac:dyDescent="0.25">
      <c r="A439" s="6" t="s">
        <v>986</v>
      </c>
      <c r="B439" s="7">
        <f t="shared" ca="1" si="152"/>
        <v>103</v>
      </c>
      <c r="C439" s="7">
        <v>3</v>
      </c>
      <c r="D439" s="10">
        <v>99.9</v>
      </c>
      <c r="E439" s="10">
        <f t="shared" si="153"/>
        <v>299.70000000000005</v>
      </c>
      <c r="F439" s="7" t="s">
        <v>1184</v>
      </c>
      <c r="G439" s="6" t="s">
        <v>987</v>
      </c>
      <c r="H439" s="7" t="s">
        <v>1197</v>
      </c>
      <c r="I439" s="8" t="s">
        <v>101</v>
      </c>
      <c r="J439" s="9">
        <v>6681.96</v>
      </c>
      <c r="K439" s="16">
        <v>1196</v>
      </c>
      <c r="L439" s="11">
        <f t="shared" si="154"/>
        <v>299.70000000000005</v>
      </c>
      <c r="M439" s="31">
        <f>Tabela2[[#This Row],[R$TOTAL FÉRIAS FACIL ]]-Tabela2[[#This Row],[R$ PARCELADO]]</f>
        <v>896.3</v>
      </c>
      <c r="N439" s="6"/>
    </row>
    <row r="440" spans="1:14" x14ac:dyDescent="0.25">
      <c r="A440" s="6" t="s">
        <v>988</v>
      </c>
      <c r="B440" s="6"/>
      <c r="C440" s="6"/>
      <c r="D440" s="6"/>
      <c r="E440" s="6"/>
      <c r="F440" s="7" t="s">
        <v>1184</v>
      </c>
      <c r="G440" s="6" t="s">
        <v>989</v>
      </c>
      <c r="H440" s="7" t="s">
        <v>13</v>
      </c>
      <c r="I440" s="8" t="s">
        <v>191</v>
      </c>
      <c r="J440" s="9">
        <v>11481.9</v>
      </c>
      <c r="K440" s="16">
        <v>1196</v>
      </c>
      <c r="L440" s="6"/>
      <c r="M440" s="31"/>
      <c r="N440" s="11">
        <f>K440</f>
        <v>1196</v>
      </c>
    </row>
    <row r="441" spans="1:14" x14ac:dyDescent="0.25">
      <c r="A441" s="6" t="s">
        <v>990</v>
      </c>
      <c r="B441" s="7">
        <f ca="1">$I$1-I441</f>
        <v>95</v>
      </c>
      <c r="C441" s="7">
        <v>3</v>
      </c>
      <c r="D441" s="10">
        <v>99.9</v>
      </c>
      <c r="E441" s="10">
        <f>D441*C441</f>
        <v>299.70000000000005</v>
      </c>
      <c r="F441" s="7" t="s">
        <v>1184</v>
      </c>
      <c r="G441" s="6" t="s">
        <v>991</v>
      </c>
      <c r="H441" s="7" t="s">
        <v>1197</v>
      </c>
      <c r="I441" s="8" t="s">
        <v>280</v>
      </c>
      <c r="J441" s="9">
        <v>6681.96</v>
      </c>
      <c r="K441" s="16">
        <v>1196</v>
      </c>
      <c r="L441" s="11">
        <f>E441</f>
        <v>299.70000000000005</v>
      </c>
      <c r="M441" s="31">
        <f>Tabela2[[#This Row],[R$TOTAL FÉRIAS FACIL ]]-Tabela2[[#This Row],[R$ PARCELADO]]</f>
        <v>896.3</v>
      </c>
      <c r="N441" s="6"/>
    </row>
    <row r="442" spans="1:14" x14ac:dyDescent="0.25">
      <c r="A442" s="6" t="s">
        <v>992</v>
      </c>
      <c r="B442" s="6"/>
      <c r="C442" s="6"/>
      <c r="D442" s="6"/>
      <c r="E442" s="6"/>
      <c r="F442" s="7" t="s">
        <v>1184</v>
      </c>
      <c r="G442" s="6" t="s">
        <v>993</v>
      </c>
      <c r="H442" s="7" t="s">
        <v>13</v>
      </c>
      <c r="I442" s="8" t="s">
        <v>190</v>
      </c>
      <c r="J442" s="9">
        <v>6681.96</v>
      </c>
      <c r="K442" s="16">
        <v>1196</v>
      </c>
      <c r="L442" s="6"/>
      <c r="M442" s="31"/>
      <c r="N442" s="11">
        <f>K442</f>
        <v>1196</v>
      </c>
    </row>
    <row r="443" spans="1:14" x14ac:dyDescent="0.25">
      <c r="A443" s="6" t="s">
        <v>994</v>
      </c>
      <c r="B443" s="7">
        <f ca="1">$I$1-I443</f>
        <v>88</v>
      </c>
      <c r="C443" s="7"/>
      <c r="D443" s="7"/>
      <c r="E443" s="7"/>
      <c r="F443" s="7" t="s">
        <v>1184</v>
      </c>
      <c r="G443" s="6" t="s">
        <v>995</v>
      </c>
      <c r="H443" s="7" t="s">
        <v>13</v>
      </c>
      <c r="I443" s="8" t="s">
        <v>416</v>
      </c>
      <c r="J443" s="9">
        <v>4611.96</v>
      </c>
      <c r="K443" s="16">
        <v>1196</v>
      </c>
      <c r="L443" s="6"/>
      <c r="M443" s="31"/>
      <c r="N443" s="11">
        <f t="shared" ref="N443:N444" si="155">K443</f>
        <v>1196</v>
      </c>
    </row>
    <row r="444" spans="1:14" x14ac:dyDescent="0.25">
      <c r="A444" s="6" t="s">
        <v>996</v>
      </c>
      <c r="B444" s="7">
        <f ca="1">$I$1-I444</f>
        <v>85</v>
      </c>
      <c r="C444" s="7"/>
      <c r="D444" s="7"/>
      <c r="E444" s="7"/>
      <c r="F444" s="7" t="s">
        <v>1184</v>
      </c>
      <c r="G444" s="6" t="s">
        <v>997</v>
      </c>
      <c r="H444" s="7" t="s">
        <v>13</v>
      </c>
      <c r="I444" s="8" t="s">
        <v>24</v>
      </c>
      <c r="J444" s="9">
        <v>4842.54</v>
      </c>
      <c r="K444" s="16">
        <v>1196</v>
      </c>
      <c r="L444" s="6"/>
      <c r="M444" s="31"/>
      <c r="N444" s="11">
        <f t="shared" si="155"/>
        <v>1196</v>
      </c>
    </row>
    <row r="445" spans="1:14" x14ac:dyDescent="0.25">
      <c r="A445" s="6" t="s">
        <v>998</v>
      </c>
      <c r="B445" s="6"/>
      <c r="C445" s="6"/>
      <c r="D445" s="6"/>
      <c r="E445" s="6"/>
      <c r="F445" s="7" t="s">
        <v>1184</v>
      </c>
      <c r="G445" s="6" t="s">
        <v>999</v>
      </c>
      <c r="H445" s="7" t="s">
        <v>13</v>
      </c>
      <c r="I445" s="8" t="s">
        <v>125</v>
      </c>
      <c r="J445" s="9">
        <v>6681.96</v>
      </c>
      <c r="K445" s="16">
        <v>1196</v>
      </c>
      <c r="L445" s="6"/>
      <c r="M445" s="31"/>
      <c r="N445" s="11">
        <f>K445</f>
        <v>1196</v>
      </c>
    </row>
    <row r="446" spans="1:14" x14ac:dyDescent="0.25">
      <c r="A446" s="6" t="s">
        <v>1000</v>
      </c>
      <c r="B446" s="7">
        <f t="shared" ref="B446:B455" ca="1" si="156">$I$1-I446</f>
        <v>130</v>
      </c>
      <c r="C446" s="12">
        <v>4</v>
      </c>
      <c r="D446" s="10">
        <v>99.9</v>
      </c>
      <c r="E446" s="10">
        <f t="shared" ref="E446:E451" si="157">D446*C446</f>
        <v>399.6</v>
      </c>
      <c r="F446" s="7" t="s">
        <v>1184</v>
      </c>
      <c r="G446" s="6" t="s">
        <v>1001</v>
      </c>
      <c r="H446" s="7" t="s">
        <v>1197</v>
      </c>
      <c r="I446" s="8" t="s">
        <v>319</v>
      </c>
      <c r="J446" s="9">
        <v>6681.96</v>
      </c>
      <c r="K446" s="16">
        <v>1196</v>
      </c>
      <c r="L446" s="11">
        <f t="shared" ref="L446:L451" si="158">E446</f>
        <v>399.6</v>
      </c>
      <c r="M446" s="31">
        <f>Tabela2[[#This Row],[R$TOTAL FÉRIAS FACIL ]]-Tabela2[[#This Row],[R$ PARCELADO]]</f>
        <v>796.4</v>
      </c>
      <c r="N446" s="6"/>
    </row>
    <row r="447" spans="1:14" x14ac:dyDescent="0.25">
      <c r="A447" s="6" t="s">
        <v>1002</v>
      </c>
      <c r="B447" s="7">
        <f t="shared" ca="1" si="156"/>
        <v>130</v>
      </c>
      <c r="C447" s="12">
        <v>4</v>
      </c>
      <c r="D447" s="10">
        <v>99.9</v>
      </c>
      <c r="E447" s="10">
        <f t="shared" si="157"/>
        <v>399.6</v>
      </c>
      <c r="F447" s="7" t="s">
        <v>1184</v>
      </c>
      <c r="G447" s="6" t="s">
        <v>1003</v>
      </c>
      <c r="H447" s="7" t="s">
        <v>1197</v>
      </c>
      <c r="I447" s="8" t="s">
        <v>319</v>
      </c>
      <c r="J447" s="9">
        <v>6681.96</v>
      </c>
      <c r="K447" s="16">
        <v>1196</v>
      </c>
      <c r="L447" s="11">
        <f t="shared" si="158"/>
        <v>399.6</v>
      </c>
      <c r="M447" s="31">
        <f>Tabela2[[#This Row],[R$TOTAL FÉRIAS FACIL ]]-Tabela2[[#This Row],[R$ PARCELADO]]</f>
        <v>796.4</v>
      </c>
      <c r="N447" s="6"/>
    </row>
    <row r="448" spans="1:14" x14ac:dyDescent="0.25">
      <c r="A448" s="6" t="s">
        <v>1004</v>
      </c>
      <c r="B448" s="7">
        <f t="shared" ca="1" si="156"/>
        <v>129</v>
      </c>
      <c r="C448" s="12">
        <v>4</v>
      </c>
      <c r="D448" s="10">
        <v>99.9</v>
      </c>
      <c r="E448" s="10">
        <f t="shared" si="157"/>
        <v>399.6</v>
      </c>
      <c r="F448" s="7" t="s">
        <v>1184</v>
      </c>
      <c r="G448" s="6" t="s">
        <v>1005</v>
      </c>
      <c r="H448" s="7" t="s">
        <v>1197</v>
      </c>
      <c r="I448" s="8" t="s">
        <v>293</v>
      </c>
      <c r="J448" s="9">
        <v>7581.96</v>
      </c>
      <c r="K448" s="16">
        <v>1196</v>
      </c>
      <c r="L448" s="11">
        <f t="shared" si="158"/>
        <v>399.6</v>
      </c>
      <c r="M448" s="31">
        <f>Tabela2[[#This Row],[R$TOTAL FÉRIAS FACIL ]]-Tabela2[[#This Row],[R$ PARCELADO]]</f>
        <v>796.4</v>
      </c>
      <c r="N448" s="6"/>
    </row>
    <row r="449" spans="1:14" x14ac:dyDescent="0.25">
      <c r="A449" s="6" t="s">
        <v>1006</v>
      </c>
      <c r="B449" s="7">
        <f t="shared" ca="1" si="156"/>
        <v>130</v>
      </c>
      <c r="C449" s="12">
        <v>4</v>
      </c>
      <c r="D449" s="10">
        <v>99.9</v>
      </c>
      <c r="E449" s="10">
        <f t="shared" si="157"/>
        <v>399.6</v>
      </c>
      <c r="F449" s="7" t="s">
        <v>1184</v>
      </c>
      <c r="G449" s="6" t="s">
        <v>1007</v>
      </c>
      <c r="H449" s="7" t="s">
        <v>1197</v>
      </c>
      <c r="I449" s="8" t="s">
        <v>319</v>
      </c>
      <c r="J449" s="9">
        <v>6681.96</v>
      </c>
      <c r="K449" s="16">
        <v>1196</v>
      </c>
      <c r="L449" s="11">
        <f t="shared" si="158"/>
        <v>399.6</v>
      </c>
      <c r="M449" s="31">
        <f>Tabela2[[#This Row],[R$TOTAL FÉRIAS FACIL ]]-Tabela2[[#This Row],[R$ PARCELADO]]</f>
        <v>796.4</v>
      </c>
      <c r="N449" s="6"/>
    </row>
    <row r="450" spans="1:14" x14ac:dyDescent="0.25">
      <c r="A450" s="6" t="s">
        <v>1008</v>
      </c>
      <c r="B450" s="7">
        <f t="shared" ca="1" si="156"/>
        <v>129</v>
      </c>
      <c r="C450" s="12">
        <v>4</v>
      </c>
      <c r="D450" s="10">
        <v>99.9</v>
      </c>
      <c r="E450" s="10">
        <f t="shared" si="157"/>
        <v>399.6</v>
      </c>
      <c r="F450" s="7" t="s">
        <v>1184</v>
      </c>
      <c r="G450" s="6" t="s">
        <v>1009</v>
      </c>
      <c r="H450" s="7" t="s">
        <v>1197</v>
      </c>
      <c r="I450" s="8" t="s">
        <v>293</v>
      </c>
      <c r="J450" s="9">
        <v>6681.96</v>
      </c>
      <c r="K450" s="16">
        <v>1196</v>
      </c>
      <c r="L450" s="11">
        <f t="shared" si="158"/>
        <v>399.6</v>
      </c>
      <c r="M450" s="31">
        <f>Tabela2[[#This Row],[R$TOTAL FÉRIAS FACIL ]]-Tabela2[[#This Row],[R$ PARCELADO]]</f>
        <v>796.4</v>
      </c>
      <c r="N450" s="6"/>
    </row>
    <row r="451" spans="1:14" x14ac:dyDescent="0.25">
      <c r="A451" s="6" t="s">
        <v>1010</v>
      </c>
      <c r="B451" s="7">
        <f t="shared" ca="1" si="156"/>
        <v>129</v>
      </c>
      <c r="C451" s="12">
        <v>4</v>
      </c>
      <c r="D451" s="10">
        <v>99.9</v>
      </c>
      <c r="E451" s="10">
        <f t="shared" si="157"/>
        <v>399.6</v>
      </c>
      <c r="F451" s="7" t="s">
        <v>1184</v>
      </c>
      <c r="G451" s="6" t="s">
        <v>1011</v>
      </c>
      <c r="H451" s="7" t="s">
        <v>1197</v>
      </c>
      <c r="I451" s="8" t="s">
        <v>293</v>
      </c>
      <c r="J451" s="9">
        <v>7581.96</v>
      </c>
      <c r="K451" s="16">
        <v>1196</v>
      </c>
      <c r="L451" s="11">
        <f t="shared" si="158"/>
        <v>399.6</v>
      </c>
      <c r="M451" s="31">
        <f>Tabela2[[#This Row],[R$TOTAL FÉRIAS FACIL ]]-Tabela2[[#This Row],[R$ PARCELADO]]</f>
        <v>796.4</v>
      </c>
      <c r="N451" s="6"/>
    </row>
    <row r="452" spans="1:14" x14ac:dyDescent="0.25">
      <c r="A452" s="6" t="s">
        <v>1012</v>
      </c>
      <c r="B452" s="7">
        <f t="shared" ca="1" si="156"/>
        <v>111</v>
      </c>
      <c r="C452" s="7"/>
      <c r="D452" s="7"/>
      <c r="E452" s="7"/>
      <c r="F452" s="7" t="s">
        <v>1184</v>
      </c>
      <c r="G452" s="6" t="s">
        <v>1013</v>
      </c>
      <c r="H452" s="7" t="s">
        <v>13</v>
      </c>
      <c r="I452" s="8" t="s">
        <v>91</v>
      </c>
      <c r="J452" s="9">
        <v>4188</v>
      </c>
      <c r="K452" s="16">
        <v>1196</v>
      </c>
      <c r="L452" s="6"/>
      <c r="M452" s="31"/>
      <c r="N452" s="11">
        <f t="shared" ref="N452:N454" si="159">K452</f>
        <v>1196</v>
      </c>
    </row>
    <row r="453" spans="1:14" x14ac:dyDescent="0.25">
      <c r="A453" s="6" t="s">
        <v>1014</v>
      </c>
      <c r="B453" s="7">
        <f t="shared" ca="1" si="156"/>
        <v>129</v>
      </c>
      <c r="C453" s="7"/>
      <c r="D453" s="7"/>
      <c r="E453" s="7"/>
      <c r="F453" s="7" t="s">
        <v>1184</v>
      </c>
      <c r="G453" s="6" t="s">
        <v>1015</v>
      </c>
      <c r="H453" s="7" t="s">
        <v>13</v>
      </c>
      <c r="I453" s="8" t="s">
        <v>293</v>
      </c>
      <c r="J453" s="9">
        <v>4611.96</v>
      </c>
      <c r="K453" s="16">
        <v>1196</v>
      </c>
      <c r="L453" s="6"/>
      <c r="M453" s="31"/>
      <c r="N453" s="11">
        <f t="shared" si="159"/>
        <v>1196</v>
      </c>
    </row>
    <row r="454" spans="1:14" x14ac:dyDescent="0.25">
      <c r="A454" s="6" t="s">
        <v>1016</v>
      </c>
      <c r="B454" s="7">
        <f t="shared" ca="1" si="156"/>
        <v>117</v>
      </c>
      <c r="C454" s="7"/>
      <c r="D454" s="7"/>
      <c r="E454" s="7"/>
      <c r="F454" s="7" t="s">
        <v>1184</v>
      </c>
      <c r="G454" s="6" t="s">
        <v>1017</v>
      </c>
      <c r="H454" s="7" t="s">
        <v>13</v>
      </c>
      <c r="I454" s="8" t="s">
        <v>15</v>
      </c>
      <c r="J454" s="9">
        <v>4611.96</v>
      </c>
      <c r="K454" s="16">
        <v>1196</v>
      </c>
      <c r="L454" s="6"/>
      <c r="M454" s="31"/>
      <c r="N454" s="11">
        <f t="shared" si="159"/>
        <v>1196</v>
      </c>
    </row>
    <row r="455" spans="1:14" x14ac:dyDescent="0.25">
      <c r="A455" s="6" t="s">
        <v>1018</v>
      </c>
      <c r="B455" s="7">
        <f t="shared" ca="1" si="156"/>
        <v>127</v>
      </c>
      <c r="C455" s="12">
        <v>4</v>
      </c>
      <c r="D455" s="10">
        <v>99.9</v>
      </c>
      <c r="E455" s="10">
        <f>D455*C455</f>
        <v>399.6</v>
      </c>
      <c r="F455" s="7" t="s">
        <v>1184</v>
      </c>
      <c r="G455" s="6" t="s">
        <v>1019</v>
      </c>
      <c r="H455" s="7" t="s">
        <v>1197</v>
      </c>
      <c r="I455" s="8" t="s">
        <v>71</v>
      </c>
      <c r="J455" s="9">
        <v>6681.96</v>
      </c>
      <c r="K455" s="16">
        <v>1196</v>
      </c>
      <c r="L455" s="11">
        <f>E455</f>
        <v>399.6</v>
      </c>
      <c r="M455" s="31">
        <f>Tabela2[[#This Row],[R$TOTAL FÉRIAS FACIL ]]-Tabela2[[#This Row],[R$ PARCELADO]]</f>
        <v>796.4</v>
      </c>
      <c r="N455" s="6"/>
    </row>
    <row r="456" spans="1:14" x14ac:dyDescent="0.25">
      <c r="A456" s="6" t="s">
        <v>1020</v>
      </c>
      <c r="B456" s="6"/>
      <c r="C456" s="6"/>
      <c r="D456" s="6"/>
      <c r="E456" s="6"/>
      <c r="F456" s="7" t="s">
        <v>1184</v>
      </c>
      <c r="G456" s="6" t="s">
        <v>1021</v>
      </c>
      <c r="H456" s="7" t="s">
        <v>13</v>
      </c>
      <c r="I456" s="8" t="s">
        <v>260</v>
      </c>
      <c r="J456" s="9">
        <v>4188</v>
      </c>
      <c r="K456" s="16">
        <v>1196</v>
      </c>
      <c r="L456" s="6"/>
      <c r="M456" s="31"/>
      <c r="N456" s="11">
        <f>K456</f>
        <v>1196</v>
      </c>
    </row>
    <row r="457" spans="1:14" x14ac:dyDescent="0.25">
      <c r="A457" s="6" t="s">
        <v>1022</v>
      </c>
      <c r="B457" s="7">
        <f t="shared" ref="B457:B482" ca="1" si="160">$I$1-I457</f>
        <v>116</v>
      </c>
      <c r="C457" s="12">
        <v>4</v>
      </c>
      <c r="D457" s="10">
        <v>99.9</v>
      </c>
      <c r="E457" s="10">
        <f t="shared" ref="E457:E462" si="161">D457*C457</f>
        <v>399.6</v>
      </c>
      <c r="F457" s="7" t="s">
        <v>1184</v>
      </c>
      <c r="G457" s="6" t="s">
        <v>1023</v>
      </c>
      <c r="H457" s="7" t="s">
        <v>1197</v>
      </c>
      <c r="I457" s="8" t="s">
        <v>226</v>
      </c>
      <c r="J457" s="9">
        <v>6681.96</v>
      </c>
      <c r="K457" s="16">
        <v>1196</v>
      </c>
      <c r="L457" s="11">
        <f t="shared" ref="L457:L462" si="162">E457</f>
        <v>399.6</v>
      </c>
      <c r="M457" s="31">
        <f>Tabela2[[#This Row],[R$TOTAL FÉRIAS FACIL ]]-Tabela2[[#This Row],[R$ PARCELADO]]</f>
        <v>796.4</v>
      </c>
      <c r="N457" s="6"/>
    </row>
    <row r="458" spans="1:14" x14ac:dyDescent="0.25">
      <c r="A458" s="6" t="s">
        <v>1024</v>
      </c>
      <c r="B458" s="7">
        <f t="shared" ca="1" si="160"/>
        <v>140</v>
      </c>
      <c r="C458" s="12">
        <v>5</v>
      </c>
      <c r="D458" s="10">
        <v>99.9</v>
      </c>
      <c r="E458" s="10">
        <f t="shared" si="161"/>
        <v>499.5</v>
      </c>
      <c r="F458" s="7" t="s">
        <v>1184</v>
      </c>
      <c r="G458" s="6" t="s">
        <v>1025</v>
      </c>
      <c r="H458" s="7" t="s">
        <v>1197</v>
      </c>
      <c r="I458" s="8" t="s">
        <v>57</v>
      </c>
      <c r="J458" s="9">
        <v>6000</v>
      </c>
      <c r="K458" s="16">
        <v>1196</v>
      </c>
      <c r="L458" s="11">
        <f t="shared" si="162"/>
        <v>499.5</v>
      </c>
      <c r="M458" s="31">
        <f>Tabela2[[#This Row],[R$TOTAL FÉRIAS FACIL ]]-Tabela2[[#This Row],[R$ PARCELADO]]</f>
        <v>696.5</v>
      </c>
      <c r="N458" s="6"/>
    </row>
    <row r="459" spans="1:14" x14ac:dyDescent="0.25">
      <c r="A459" s="6" t="s">
        <v>1026</v>
      </c>
      <c r="B459" s="7">
        <f t="shared" ca="1" si="160"/>
        <v>124</v>
      </c>
      <c r="C459" s="12">
        <v>4</v>
      </c>
      <c r="D459" s="10">
        <v>99.9</v>
      </c>
      <c r="E459" s="10">
        <f t="shared" si="161"/>
        <v>399.6</v>
      </c>
      <c r="F459" s="7" t="s">
        <v>1184</v>
      </c>
      <c r="G459" s="6" t="s">
        <v>1027</v>
      </c>
      <c r="H459" s="7" t="s">
        <v>1197</v>
      </c>
      <c r="I459" s="8" t="s">
        <v>78</v>
      </c>
      <c r="J459" s="9">
        <v>9082.02</v>
      </c>
      <c r="K459" s="16">
        <v>1196</v>
      </c>
      <c r="L459" s="11">
        <f t="shared" si="162"/>
        <v>399.6</v>
      </c>
      <c r="M459" s="31">
        <f>Tabela2[[#This Row],[R$TOTAL FÉRIAS FACIL ]]-Tabela2[[#This Row],[R$ PARCELADO]]</f>
        <v>796.4</v>
      </c>
      <c r="N459" s="6"/>
    </row>
    <row r="460" spans="1:14" x14ac:dyDescent="0.25">
      <c r="A460" s="6" t="s">
        <v>1028</v>
      </c>
      <c r="B460" s="7">
        <f t="shared" ca="1" si="160"/>
        <v>94</v>
      </c>
      <c r="C460" s="7">
        <v>3</v>
      </c>
      <c r="D460" s="10">
        <v>99.9</v>
      </c>
      <c r="E460" s="10">
        <f t="shared" si="161"/>
        <v>299.70000000000005</v>
      </c>
      <c r="F460" s="7" t="s">
        <v>1184</v>
      </c>
      <c r="G460" s="6" t="s">
        <v>1029</v>
      </c>
      <c r="H460" s="7" t="s">
        <v>1197</v>
      </c>
      <c r="I460" s="8" t="s">
        <v>830</v>
      </c>
      <c r="J460" s="9">
        <v>6681.96</v>
      </c>
      <c r="K460" s="16">
        <v>1196</v>
      </c>
      <c r="L460" s="11">
        <f t="shared" si="162"/>
        <v>299.70000000000005</v>
      </c>
      <c r="M460" s="31">
        <f>Tabela2[[#This Row],[R$TOTAL FÉRIAS FACIL ]]-Tabela2[[#This Row],[R$ PARCELADO]]</f>
        <v>896.3</v>
      </c>
      <c r="N460" s="6"/>
    </row>
    <row r="461" spans="1:14" x14ac:dyDescent="0.25">
      <c r="A461" s="6" t="s">
        <v>1030</v>
      </c>
      <c r="B461" s="7">
        <f t="shared" ca="1" si="160"/>
        <v>100</v>
      </c>
      <c r="C461" s="7">
        <v>3</v>
      </c>
      <c r="D461" s="10">
        <v>99.9</v>
      </c>
      <c r="E461" s="10">
        <f t="shared" si="161"/>
        <v>299.70000000000005</v>
      </c>
      <c r="F461" s="7" t="s">
        <v>1184</v>
      </c>
      <c r="G461" s="6" t="s">
        <v>1031</v>
      </c>
      <c r="H461" s="7" t="s">
        <v>1197</v>
      </c>
      <c r="I461" s="8" t="s">
        <v>107</v>
      </c>
      <c r="J461" s="9">
        <v>7581.96</v>
      </c>
      <c r="K461" s="16">
        <v>1196</v>
      </c>
      <c r="L461" s="11">
        <f t="shared" si="162"/>
        <v>299.70000000000005</v>
      </c>
      <c r="M461" s="31">
        <f>Tabela2[[#This Row],[R$TOTAL FÉRIAS FACIL ]]-Tabela2[[#This Row],[R$ PARCELADO]]</f>
        <v>896.3</v>
      </c>
      <c r="N461" s="6"/>
    </row>
    <row r="462" spans="1:14" x14ac:dyDescent="0.25">
      <c r="A462" s="6" t="s">
        <v>1032</v>
      </c>
      <c r="B462" s="7">
        <f t="shared" ca="1" si="160"/>
        <v>107</v>
      </c>
      <c r="C462" s="12">
        <v>4</v>
      </c>
      <c r="D462" s="10">
        <v>99.9</v>
      </c>
      <c r="E462" s="10">
        <f t="shared" si="161"/>
        <v>399.6</v>
      </c>
      <c r="F462" s="7" t="s">
        <v>1184</v>
      </c>
      <c r="G462" s="6" t="s">
        <v>1033</v>
      </c>
      <c r="H462" s="7" t="s">
        <v>1197</v>
      </c>
      <c r="I462" s="8" t="s">
        <v>93</v>
      </c>
      <c r="J462" s="9">
        <v>7581.96</v>
      </c>
      <c r="K462" s="16">
        <v>1196</v>
      </c>
      <c r="L462" s="11">
        <f t="shared" si="162"/>
        <v>399.6</v>
      </c>
      <c r="M462" s="31">
        <f>Tabela2[[#This Row],[R$TOTAL FÉRIAS FACIL ]]-Tabela2[[#This Row],[R$ PARCELADO]]</f>
        <v>796.4</v>
      </c>
      <c r="N462" s="6"/>
    </row>
    <row r="463" spans="1:14" x14ac:dyDescent="0.25">
      <c r="A463" s="6" t="s">
        <v>1034</v>
      </c>
      <c r="B463" s="7">
        <f t="shared" ca="1" si="160"/>
        <v>119</v>
      </c>
      <c r="C463" s="7"/>
      <c r="D463" s="7"/>
      <c r="E463" s="7"/>
      <c r="F463" s="7" t="s">
        <v>1184</v>
      </c>
      <c r="G463" s="6" t="s">
        <v>1035</v>
      </c>
      <c r="H463" s="7" t="s">
        <v>13</v>
      </c>
      <c r="I463" s="8" t="s">
        <v>235</v>
      </c>
      <c r="J463" s="9">
        <v>4188</v>
      </c>
      <c r="K463" s="16">
        <v>1196</v>
      </c>
      <c r="L463" s="6"/>
      <c r="M463" s="31"/>
      <c r="N463" s="11">
        <f>K463</f>
        <v>1196</v>
      </c>
    </row>
    <row r="464" spans="1:14" x14ac:dyDescent="0.25">
      <c r="A464" s="6" t="s">
        <v>1036</v>
      </c>
      <c r="B464" s="7">
        <f t="shared" ca="1" si="160"/>
        <v>128</v>
      </c>
      <c r="C464" s="12">
        <v>4</v>
      </c>
      <c r="D464" s="10">
        <v>99.9</v>
      </c>
      <c r="E464" s="10">
        <f t="shared" ref="E464:E473" si="163">D464*C464</f>
        <v>399.6</v>
      </c>
      <c r="F464" s="7" t="s">
        <v>1184</v>
      </c>
      <c r="G464" s="6" t="s">
        <v>1037</v>
      </c>
      <c r="H464" s="7" t="s">
        <v>1197</v>
      </c>
      <c r="I464" s="8" t="s">
        <v>48</v>
      </c>
      <c r="J464" s="9">
        <v>7581.96</v>
      </c>
      <c r="K464" s="16">
        <v>1196</v>
      </c>
      <c r="L464" s="11">
        <f t="shared" ref="L464:L473" si="164">E464</f>
        <v>399.6</v>
      </c>
      <c r="M464" s="31">
        <f>Tabela2[[#This Row],[R$TOTAL FÉRIAS FACIL ]]-Tabela2[[#This Row],[R$ PARCELADO]]</f>
        <v>796.4</v>
      </c>
      <c r="N464" s="6"/>
    </row>
    <row r="465" spans="1:14" x14ac:dyDescent="0.25">
      <c r="A465" s="6" t="s">
        <v>1038</v>
      </c>
      <c r="B465" s="7">
        <f t="shared" ca="1" si="160"/>
        <v>114</v>
      </c>
      <c r="C465" s="12">
        <v>4</v>
      </c>
      <c r="D465" s="10">
        <v>99.9</v>
      </c>
      <c r="E465" s="10">
        <f t="shared" si="163"/>
        <v>399.6</v>
      </c>
      <c r="F465" s="7" t="s">
        <v>1184</v>
      </c>
      <c r="G465" s="6" t="s">
        <v>1039</v>
      </c>
      <c r="H465" s="7" t="s">
        <v>1197</v>
      </c>
      <c r="I465" s="8" t="s">
        <v>10</v>
      </c>
      <c r="J465" s="9">
        <v>7581.96</v>
      </c>
      <c r="K465" s="16">
        <v>1196</v>
      </c>
      <c r="L465" s="11">
        <f t="shared" si="164"/>
        <v>399.6</v>
      </c>
      <c r="M465" s="31">
        <f>Tabela2[[#This Row],[R$TOTAL FÉRIAS FACIL ]]-Tabela2[[#This Row],[R$ PARCELADO]]</f>
        <v>796.4</v>
      </c>
      <c r="N465" s="6"/>
    </row>
    <row r="466" spans="1:14" x14ac:dyDescent="0.25">
      <c r="A466" s="6" t="s">
        <v>1040</v>
      </c>
      <c r="B466" s="7">
        <f t="shared" ca="1" si="160"/>
        <v>115</v>
      </c>
      <c r="C466" s="12">
        <v>4</v>
      </c>
      <c r="D466" s="10">
        <v>99.9</v>
      </c>
      <c r="E466" s="10">
        <f t="shared" si="163"/>
        <v>399.6</v>
      </c>
      <c r="F466" s="7" t="s">
        <v>1184</v>
      </c>
      <c r="G466" s="6" t="s">
        <v>1041</v>
      </c>
      <c r="H466" s="7" t="s">
        <v>1197</v>
      </c>
      <c r="I466" s="8" t="s">
        <v>273</v>
      </c>
      <c r="J466" s="9">
        <v>6681.96</v>
      </c>
      <c r="K466" s="16">
        <v>1196</v>
      </c>
      <c r="L466" s="11">
        <f t="shared" si="164"/>
        <v>399.6</v>
      </c>
      <c r="M466" s="31">
        <f>Tabela2[[#This Row],[R$TOTAL FÉRIAS FACIL ]]-Tabela2[[#This Row],[R$ PARCELADO]]</f>
        <v>796.4</v>
      </c>
      <c r="N466" s="6"/>
    </row>
    <row r="467" spans="1:14" x14ac:dyDescent="0.25">
      <c r="A467" s="6" t="s">
        <v>1042</v>
      </c>
      <c r="B467" s="7">
        <f t="shared" ca="1" si="160"/>
        <v>108</v>
      </c>
      <c r="C467" s="12">
        <v>4</v>
      </c>
      <c r="D467" s="10">
        <v>99.9</v>
      </c>
      <c r="E467" s="10">
        <f t="shared" si="163"/>
        <v>399.6</v>
      </c>
      <c r="F467" s="7" t="s">
        <v>1184</v>
      </c>
      <c r="G467" s="6" t="s">
        <v>1043</v>
      </c>
      <c r="H467" s="7" t="s">
        <v>1197</v>
      </c>
      <c r="I467" s="8" t="s">
        <v>298</v>
      </c>
      <c r="J467" s="9">
        <v>6681.96</v>
      </c>
      <c r="K467" s="16">
        <v>1196</v>
      </c>
      <c r="L467" s="11">
        <f t="shared" si="164"/>
        <v>399.6</v>
      </c>
      <c r="M467" s="31">
        <f>Tabela2[[#This Row],[R$TOTAL FÉRIAS FACIL ]]-Tabela2[[#This Row],[R$ PARCELADO]]</f>
        <v>796.4</v>
      </c>
      <c r="N467" s="6"/>
    </row>
    <row r="468" spans="1:14" x14ac:dyDescent="0.25">
      <c r="A468" s="6" t="s">
        <v>1044</v>
      </c>
      <c r="B468" s="7">
        <f t="shared" ca="1" si="160"/>
        <v>121</v>
      </c>
      <c r="C468" s="12">
        <v>4</v>
      </c>
      <c r="D468" s="10">
        <v>99.9</v>
      </c>
      <c r="E468" s="10">
        <f t="shared" si="163"/>
        <v>399.6</v>
      </c>
      <c r="F468" s="7" t="s">
        <v>1184</v>
      </c>
      <c r="G468" s="6" t="s">
        <v>1045</v>
      </c>
      <c r="H468" s="7" t="s">
        <v>1197</v>
      </c>
      <c r="I468" s="8" t="s">
        <v>80</v>
      </c>
      <c r="J468" s="9">
        <v>6681.96</v>
      </c>
      <c r="K468" s="16">
        <v>1196</v>
      </c>
      <c r="L468" s="11">
        <f t="shared" si="164"/>
        <v>399.6</v>
      </c>
      <c r="M468" s="31">
        <f>Tabela2[[#This Row],[R$TOTAL FÉRIAS FACIL ]]-Tabela2[[#This Row],[R$ PARCELADO]]</f>
        <v>796.4</v>
      </c>
      <c r="N468" s="6"/>
    </row>
    <row r="469" spans="1:14" x14ac:dyDescent="0.25">
      <c r="A469" s="6" t="s">
        <v>1046</v>
      </c>
      <c r="B469" s="7">
        <f t="shared" ca="1" si="160"/>
        <v>121</v>
      </c>
      <c r="C469" s="12">
        <v>4</v>
      </c>
      <c r="D469" s="10">
        <v>99.9</v>
      </c>
      <c r="E469" s="10">
        <f t="shared" si="163"/>
        <v>399.6</v>
      </c>
      <c r="F469" s="7" t="s">
        <v>1184</v>
      </c>
      <c r="G469" s="6" t="s">
        <v>1047</v>
      </c>
      <c r="H469" s="7" t="s">
        <v>1197</v>
      </c>
      <c r="I469" s="8" t="s">
        <v>80</v>
      </c>
      <c r="J469" s="9">
        <v>9982.02</v>
      </c>
      <c r="K469" s="16">
        <v>1196</v>
      </c>
      <c r="L469" s="11">
        <f t="shared" si="164"/>
        <v>399.6</v>
      </c>
      <c r="M469" s="31">
        <f>Tabela2[[#This Row],[R$TOTAL FÉRIAS FACIL ]]-Tabela2[[#This Row],[R$ PARCELADO]]</f>
        <v>796.4</v>
      </c>
      <c r="N469" s="6"/>
    </row>
    <row r="470" spans="1:14" x14ac:dyDescent="0.25">
      <c r="A470" s="6" t="s">
        <v>1048</v>
      </c>
      <c r="B470" s="7">
        <f t="shared" ca="1" si="160"/>
        <v>106</v>
      </c>
      <c r="C470" s="12">
        <v>4</v>
      </c>
      <c r="D470" s="10">
        <v>99.9</v>
      </c>
      <c r="E470" s="10">
        <f t="shared" si="163"/>
        <v>399.6</v>
      </c>
      <c r="F470" s="7" t="s">
        <v>1184</v>
      </c>
      <c r="G470" s="6" t="s">
        <v>1049</v>
      </c>
      <c r="H470" s="7" t="s">
        <v>1197</v>
      </c>
      <c r="I470" s="8" t="s">
        <v>96</v>
      </c>
      <c r="J470" s="9">
        <v>6681.96</v>
      </c>
      <c r="K470" s="16">
        <v>1196</v>
      </c>
      <c r="L470" s="11">
        <f t="shared" si="164"/>
        <v>399.6</v>
      </c>
      <c r="M470" s="31">
        <f>Tabela2[[#This Row],[R$TOTAL FÉRIAS FACIL ]]-Tabela2[[#This Row],[R$ PARCELADO]]</f>
        <v>796.4</v>
      </c>
      <c r="N470" s="6"/>
    </row>
    <row r="471" spans="1:14" x14ac:dyDescent="0.25">
      <c r="A471" s="6" t="s">
        <v>1050</v>
      </c>
      <c r="B471" s="7">
        <f t="shared" ca="1" si="160"/>
        <v>113</v>
      </c>
      <c r="C471" s="12">
        <v>4</v>
      </c>
      <c r="D471" s="10">
        <v>99.9</v>
      </c>
      <c r="E471" s="10">
        <f t="shared" si="163"/>
        <v>399.6</v>
      </c>
      <c r="F471" s="7" t="s">
        <v>1184</v>
      </c>
      <c r="G471" s="6" t="s">
        <v>1051</v>
      </c>
      <c r="H471" s="7" t="s">
        <v>1197</v>
      </c>
      <c r="I471" s="8" t="s">
        <v>86</v>
      </c>
      <c r="J471" s="9">
        <v>7581.96</v>
      </c>
      <c r="K471" s="16">
        <v>1196</v>
      </c>
      <c r="L471" s="11">
        <f t="shared" si="164"/>
        <v>399.6</v>
      </c>
      <c r="M471" s="31">
        <f>Tabela2[[#This Row],[R$TOTAL FÉRIAS FACIL ]]-Tabela2[[#This Row],[R$ PARCELADO]]</f>
        <v>796.4</v>
      </c>
      <c r="N471" s="6"/>
    </row>
    <row r="472" spans="1:14" x14ac:dyDescent="0.25">
      <c r="A472" s="6" t="s">
        <v>1052</v>
      </c>
      <c r="B472" s="7">
        <f t="shared" ca="1" si="160"/>
        <v>121</v>
      </c>
      <c r="C472" s="12">
        <v>4</v>
      </c>
      <c r="D472" s="10">
        <v>99.9</v>
      </c>
      <c r="E472" s="10">
        <f t="shared" si="163"/>
        <v>399.6</v>
      </c>
      <c r="F472" s="7" t="s">
        <v>1184</v>
      </c>
      <c r="G472" s="6" t="s">
        <v>1053</v>
      </c>
      <c r="H472" s="7" t="s">
        <v>1197</v>
      </c>
      <c r="I472" s="8" t="s">
        <v>80</v>
      </c>
      <c r="J472" s="9">
        <v>7581.96</v>
      </c>
      <c r="K472" s="16">
        <v>1196</v>
      </c>
      <c r="L472" s="11">
        <f t="shared" si="164"/>
        <v>399.6</v>
      </c>
      <c r="M472" s="31">
        <f>Tabela2[[#This Row],[R$TOTAL FÉRIAS FACIL ]]-Tabela2[[#This Row],[R$ PARCELADO]]</f>
        <v>796.4</v>
      </c>
      <c r="N472" s="6"/>
    </row>
    <row r="473" spans="1:14" x14ac:dyDescent="0.25">
      <c r="A473" s="6" t="s">
        <v>1054</v>
      </c>
      <c r="B473" s="7">
        <f t="shared" ca="1" si="160"/>
        <v>110</v>
      </c>
      <c r="C473" s="12">
        <v>4</v>
      </c>
      <c r="D473" s="10">
        <v>99.9</v>
      </c>
      <c r="E473" s="10">
        <f t="shared" si="163"/>
        <v>399.6</v>
      </c>
      <c r="F473" s="7" t="s">
        <v>1184</v>
      </c>
      <c r="G473" s="6" t="s">
        <v>1055</v>
      </c>
      <c r="H473" s="7" t="s">
        <v>1197</v>
      </c>
      <c r="I473" s="8" t="s">
        <v>12</v>
      </c>
      <c r="J473" s="9">
        <v>6681.96</v>
      </c>
      <c r="K473" s="16">
        <v>1196</v>
      </c>
      <c r="L473" s="11">
        <f t="shared" si="164"/>
        <v>399.6</v>
      </c>
      <c r="M473" s="31">
        <f>Tabela2[[#This Row],[R$TOTAL FÉRIAS FACIL ]]-Tabela2[[#This Row],[R$ PARCELADO]]</f>
        <v>796.4</v>
      </c>
      <c r="N473" s="6"/>
    </row>
    <row r="474" spans="1:14" x14ac:dyDescent="0.25">
      <c r="A474" s="6" t="s">
        <v>1056</v>
      </c>
      <c r="B474" s="7">
        <f t="shared" ca="1" si="160"/>
        <v>105</v>
      </c>
      <c r="C474" s="7"/>
      <c r="D474" s="7"/>
      <c r="E474" s="7"/>
      <c r="F474" s="7" t="s">
        <v>1184</v>
      </c>
      <c r="G474" s="6" t="s">
        <v>1057</v>
      </c>
      <c r="H474" s="7" t="s">
        <v>13</v>
      </c>
      <c r="I474" s="8" t="s">
        <v>99</v>
      </c>
      <c r="J474" s="9">
        <v>4842.54</v>
      </c>
      <c r="K474" s="16">
        <v>1196</v>
      </c>
      <c r="L474" s="6"/>
      <c r="M474" s="31"/>
      <c r="N474" s="11">
        <f>K474</f>
        <v>1196</v>
      </c>
    </row>
    <row r="475" spans="1:14" x14ac:dyDescent="0.25">
      <c r="A475" s="6" t="s">
        <v>1058</v>
      </c>
      <c r="B475" s="7">
        <f t="shared" ca="1" si="160"/>
        <v>139</v>
      </c>
      <c r="C475" s="12">
        <v>5</v>
      </c>
      <c r="D475" s="10">
        <v>99.9</v>
      </c>
      <c r="E475" s="10">
        <f>D475*C475</f>
        <v>499.5</v>
      </c>
      <c r="F475" s="7" t="s">
        <v>1184</v>
      </c>
      <c r="G475" s="6" t="s">
        <v>1059</v>
      </c>
      <c r="H475" s="7" t="s">
        <v>1197</v>
      </c>
      <c r="I475" s="8" t="s">
        <v>61</v>
      </c>
      <c r="J475" s="9">
        <v>7581.96</v>
      </c>
      <c r="K475" s="16">
        <v>1196</v>
      </c>
      <c r="L475" s="11">
        <f>E475</f>
        <v>499.5</v>
      </c>
      <c r="M475" s="31">
        <f>Tabela2[[#This Row],[R$TOTAL FÉRIAS FACIL ]]-Tabela2[[#This Row],[R$ PARCELADO]]</f>
        <v>696.5</v>
      </c>
      <c r="N475" s="6"/>
    </row>
    <row r="476" spans="1:14" x14ac:dyDescent="0.25">
      <c r="A476" s="6" t="s">
        <v>1060</v>
      </c>
      <c r="B476" s="7">
        <f t="shared" ca="1" si="160"/>
        <v>110</v>
      </c>
      <c r="C476" s="7"/>
      <c r="D476" s="7"/>
      <c r="E476" s="7"/>
      <c r="F476" s="7" t="s">
        <v>1184</v>
      </c>
      <c r="G476" s="6" t="s">
        <v>1061</v>
      </c>
      <c r="H476" s="7" t="s">
        <v>13</v>
      </c>
      <c r="I476" s="8" t="s">
        <v>12</v>
      </c>
      <c r="J476" s="9">
        <v>4842.54</v>
      </c>
      <c r="K476" s="16">
        <v>1196</v>
      </c>
      <c r="L476" s="6"/>
      <c r="M476" s="31"/>
      <c r="N476" s="11">
        <f t="shared" ref="N476:N479" si="165">K476</f>
        <v>1196</v>
      </c>
    </row>
    <row r="477" spans="1:14" x14ac:dyDescent="0.25">
      <c r="A477" s="6" t="s">
        <v>1062</v>
      </c>
      <c r="B477" s="7">
        <f t="shared" ca="1" si="160"/>
        <v>108</v>
      </c>
      <c r="C477" s="7"/>
      <c r="D477" s="7"/>
      <c r="E477" s="7"/>
      <c r="F477" s="7" t="s">
        <v>1184</v>
      </c>
      <c r="G477" s="6" t="s">
        <v>1063</v>
      </c>
      <c r="H477" s="7" t="s">
        <v>13</v>
      </c>
      <c r="I477" s="8" t="s">
        <v>298</v>
      </c>
      <c r="J477" s="9">
        <v>5811.96</v>
      </c>
      <c r="K477" s="16">
        <v>1196</v>
      </c>
      <c r="L477" s="6"/>
      <c r="M477" s="31"/>
      <c r="N477" s="11">
        <f t="shared" si="165"/>
        <v>1196</v>
      </c>
    </row>
    <row r="478" spans="1:14" x14ac:dyDescent="0.25">
      <c r="A478" s="6" t="s">
        <v>1064</v>
      </c>
      <c r="B478" s="7">
        <f t="shared" ca="1" si="160"/>
        <v>103</v>
      </c>
      <c r="C478" s="7"/>
      <c r="D478" s="7"/>
      <c r="E478" s="7"/>
      <c r="F478" s="7" t="s">
        <v>1184</v>
      </c>
      <c r="G478" s="6" t="s">
        <v>1065</v>
      </c>
      <c r="H478" s="7" t="s">
        <v>13</v>
      </c>
      <c r="I478" s="8" t="s">
        <v>101</v>
      </c>
      <c r="J478" s="9">
        <v>4611.96</v>
      </c>
      <c r="K478" s="16">
        <v>1196</v>
      </c>
      <c r="L478" s="6"/>
      <c r="M478" s="31"/>
      <c r="N478" s="11">
        <f t="shared" si="165"/>
        <v>1196</v>
      </c>
    </row>
    <row r="479" spans="1:14" x14ac:dyDescent="0.25">
      <c r="A479" s="6" t="s">
        <v>1066</v>
      </c>
      <c r="B479" s="7">
        <f t="shared" ca="1" si="160"/>
        <v>102</v>
      </c>
      <c r="C479" s="7"/>
      <c r="D479" s="7"/>
      <c r="E479" s="7"/>
      <c r="F479" s="7" t="s">
        <v>1184</v>
      </c>
      <c r="G479" s="6" t="s">
        <v>1067</v>
      </c>
      <c r="H479" s="7" t="s">
        <v>13</v>
      </c>
      <c r="I479" s="8" t="s">
        <v>191</v>
      </c>
      <c r="J479" s="9">
        <v>4611.96</v>
      </c>
      <c r="K479" s="16">
        <v>1196</v>
      </c>
      <c r="L479" s="6"/>
      <c r="M479" s="31"/>
      <c r="N479" s="11">
        <f t="shared" si="165"/>
        <v>1196</v>
      </c>
    </row>
    <row r="480" spans="1:14" x14ac:dyDescent="0.25">
      <c r="A480" s="6" t="s">
        <v>1068</v>
      </c>
      <c r="B480" s="7">
        <f t="shared" ca="1" si="160"/>
        <v>100</v>
      </c>
      <c r="C480" s="7">
        <v>3</v>
      </c>
      <c r="D480" s="10">
        <v>99.9</v>
      </c>
      <c r="E480" s="10">
        <f>D480*C480</f>
        <v>299.70000000000005</v>
      </c>
      <c r="F480" s="7" t="s">
        <v>1184</v>
      </c>
      <c r="G480" s="6" t="s">
        <v>1069</v>
      </c>
      <c r="H480" s="7" t="s">
        <v>1197</v>
      </c>
      <c r="I480" s="8" t="s">
        <v>107</v>
      </c>
      <c r="J480" s="9">
        <v>7581.96</v>
      </c>
      <c r="K480" s="16">
        <v>1196</v>
      </c>
      <c r="L480" s="11">
        <f>E480</f>
        <v>299.70000000000005</v>
      </c>
      <c r="M480" s="31">
        <f>Tabela2[[#This Row],[R$TOTAL FÉRIAS FACIL ]]-Tabela2[[#This Row],[R$ PARCELADO]]</f>
        <v>896.3</v>
      </c>
      <c r="N480" s="6"/>
    </row>
    <row r="481" spans="1:14" x14ac:dyDescent="0.25">
      <c r="A481" s="6" t="s">
        <v>1070</v>
      </c>
      <c r="B481" s="7">
        <f t="shared" ca="1" si="160"/>
        <v>101</v>
      </c>
      <c r="C481" s="7"/>
      <c r="D481" s="7"/>
      <c r="E481" s="7"/>
      <c r="F481" s="7" t="s">
        <v>1184</v>
      </c>
      <c r="G481" s="6" t="s">
        <v>1071</v>
      </c>
      <c r="H481" s="7" t="s">
        <v>13</v>
      </c>
      <c r="I481" s="8" t="s">
        <v>445</v>
      </c>
      <c r="J481" s="9">
        <v>4611.96</v>
      </c>
      <c r="K481" s="16">
        <v>1196</v>
      </c>
      <c r="L481" s="6"/>
      <c r="M481" s="31"/>
      <c r="N481" s="11">
        <f t="shared" ref="N481:N482" si="166">K481</f>
        <v>1196</v>
      </c>
    </row>
    <row r="482" spans="1:14" x14ac:dyDescent="0.25">
      <c r="A482" s="6" t="s">
        <v>1072</v>
      </c>
      <c r="B482" s="7">
        <f t="shared" ca="1" si="160"/>
        <v>87</v>
      </c>
      <c r="C482" s="7"/>
      <c r="D482" s="7"/>
      <c r="E482" s="7"/>
      <c r="F482" s="7" t="s">
        <v>1184</v>
      </c>
      <c r="G482" s="6" t="s">
        <v>1073</v>
      </c>
      <c r="H482" s="7" t="s">
        <v>13</v>
      </c>
      <c r="I482" s="8" t="s">
        <v>187</v>
      </c>
      <c r="J482" s="9">
        <v>4188</v>
      </c>
      <c r="K482" s="16">
        <v>1196</v>
      </c>
      <c r="L482" s="6"/>
      <c r="M482" s="31"/>
      <c r="N482" s="11">
        <f t="shared" si="166"/>
        <v>1196</v>
      </c>
    </row>
    <row r="483" spans="1:14" x14ac:dyDescent="0.25">
      <c r="A483" s="6" t="s">
        <v>1074</v>
      </c>
      <c r="B483" s="6"/>
      <c r="C483" s="6"/>
      <c r="D483" s="6"/>
      <c r="E483" s="6"/>
      <c r="F483" s="7" t="s">
        <v>1184</v>
      </c>
      <c r="G483" s="6" t="s">
        <v>1075</v>
      </c>
      <c r="H483" s="7" t="s">
        <v>13</v>
      </c>
      <c r="I483" s="8" t="s">
        <v>24</v>
      </c>
      <c r="J483" s="9">
        <v>4188</v>
      </c>
      <c r="K483" s="16">
        <v>1196</v>
      </c>
      <c r="L483" s="6"/>
      <c r="M483" s="31"/>
      <c r="N483" s="11">
        <f>K483</f>
        <v>1196</v>
      </c>
    </row>
    <row r="484" spans="1:14" x14ac:dyDescent="0.25">
      <c r="A484" s="6" t="s">
        <v>1076</v>
      </c>
      <c r="B484" s="7">
        <f t="shared" ref="B484:B489" ca="1" si="167">$I$1-I484</f>
        <v>88</v>
      </c>
      <c r="C484" s="7"/>
      <c r="D484" s="7"/>
      <c r="E484" s="7"/>
      <c r="F484" s="7" t="s">
        <v>1184</v>
      </c>
      <c r="G484" s="6" t="s">
        <v>1077</v>
      </c>
      <c r="H484" s="7" t="s">
        <v>13</v>
      </c>
      <c r="I484" s="8" t="s">
        <v>416</v>
      </c>
      <c r="J484" s="9">
        <v>4188</v>
      </c>
      <c r="K484" s="16">
        <v>1196</v>
      </c>
      <c r="L484" s="6"/>
      <c r="M484" s="31"/>
      <c r="N484" s="11">
        <f t="shared" ref="N484:N486" si="168">K484</f>
        <v>1196</v>
      </c>
    </row>
    <row r="485" spans="1:14" x14ac:dyDescent="0.25">
      <c r="A485" s="6" t="s">
        <v>1078</v>
      </c>
      <c r="B485" s="7">
        <f t="shared" ca="1" si="167"/>
        <v>102</v>
      </c>
      <c r="C485" s="7"/>
      <c r="D485" s="7"/>
      <c r="E485" s="7"/>
      <c r="F485" s="7" t="s">
        <v>1184</v>
      </c>
      <c r="G485" s="6" t="s">
        <v>1079</v>
      </c>
      <c r="H485" s="7" t="s">
        <v>13</v>
      </c>
      <c r="I485" s="8" t="s">
        <v>191</v>
      </c>
      <c r="J485" s="9">
        <v>4842.54</v>
      </c>
      <c r="K485" s="16">
        <v>1196</v>
      </c>
      <c r="L485" s="6"/>
      <c r="M485" s="31"/>
      <c r="N485" s="11">
        <f t="shared" si="168"/>
        <v>1196</v>
      </c>
    </row>
    <row r="486" spans="1:14" x14ac:dyDescent="0.25">
      <c r="A486" s="6" t="s">
        <v>1080</v>
      </c>
      <c r="B486" s="7">
        <f t="shared" ca="1" si="167"/>
        <v>122</v>
      </c>
      <c r="C486" s="7"/>
      <c r="D486" s="7"/>
      <c r="E486" s="7"/>
      <c r="F486" s="7" t="s">
        <v>1184</v>
      </c>
      <c r="G486" s="6" t="s">
        <v>1081</v>
      </c>
      <c r="H486" s="7" t="s">
        <v>13</v>
      </c>
      <c r="I486" s="8" t="s">
        <v>260</v>
      </c>
      <c r="J486" s="9">
        <v>5811.96</v>
      </c>
      <c r="K486" s="16">
        <v>1196</v>
      </c>
      <c r="L486" s="6"/>
      <c r="M486" s="31"/>
      <c r="N486" s="11">
        <f t="shared" si="168"/>
        <v>1196</v>
      </c>
    </row>
    <row r="487" spans="1:14" x14ac:dyDescent="0.25">
      <c r="A487" s="6" t="s">
        <v>1082</v>
      </c>
      <c r="B487" s="7">
        <f t="shared" ca="1" si="167"/>
        <v>122</v>
      </c>
      <c r="C487" s="12">
        <v>4</v>
      </c>
      <c r="D487" s="10">
        <v>99.9</v>
      </c>
      <c r="E487" s="10">
        <f>D487*C487</f>
        <v>399.6</v>
      </c>
      <c r="F487" s="7" t="s">
        <v>1184</v>
      </c>
      <c r="G487" s="6" t="s">
        <v>1083</v>
      </c>
      <c r="H487" s="7" t="s">
        <v>1197</v>
      </c>
      <c r="I487" s="8" t="s">
        <v>260</v>
      </c>
      <c r="J487" s="9">
        <v>6681.96</v>
      </c>
      <c r="K487" s="16">
        <v>1196</v>
      </c>
      <c r="L487" s="11">
        <f>E487</f>
        <v>399.6</v>
      </c>
      <c r="M487" s="31">
        <f>Tabela2[[#This Row],[R$TOTAL FÉRIAS FACIL ]]-Tabela2[[#This Row],[R$ PARCELADO]]</f>
        <v>796.4</v>
      </c>
      <c r="N487" s="6"/>
    </row>
    <row r="488" spans="1:14" x14ac:dyDescent="0.25">
      <c r="A488" s="6" t="s">
        <v>1084</v>
      </c>
      <c r="B488" s="7">
        <f t="shared" ca="1" si="167"/>
        <v>95</v>
      </c>
      <c r="C488" s="7"/>
      <c r="D488" s="7"/>
      <c r="E488" s="7"/>
      <c r="F488" s="7" t="s">
        <v>1184</v>
      </c>
      <c r="G488" s="6" t="s">
        <v>1085</v>
      </c>
      <c r="H488" s="7" t="s">
        <v>13</v>
      </c>
      <c r="I488" s="8" t="s">
        <v>280</v>
      </c>
      <c r="J488" s="9">
        <v>4612.0200000000004</v>
      </c>
      <c r="K488" s="16">
        <v>1196</v>
      </c>
      <c r="L488" s="6"/>
      <c r="M488" s="31"/>
      <c r="N488" s="11">
        <f>K488</f>
        <v>1196</v>
      </c>
    </row>
    <row r="489" spans="1:14" x14ac:dyDescent="0.25">
      <c r="A489" s="6" t="s">
        <v>1086</v>
      </c>
      <c r="B489" s="7">
        <f t="shared" ca="1" si="167"/>
        <v>91</v>
      </c>
      <c r="C489" s="7">
        <v>3</v>
      </c>
      <c r="D489" s="10">
        <v>99.9</v>
      </c>
      <c r="E489" s="10">
        <f>D489*C489</f>
        <v>299.70000000000005</v>
      </c>
      <c r="F489" s="7" t="s">
        <v>1184</v>
      </c>
      <c r="G489" s="6" t="s">
        <v>1087</v>
      </c>
      <c r="H489" s="7" t="s">
        <v>1197</v>
      </c>
      <c r="I489" s="8" t="s">
        <v>125</v>
      </c>
      <c r="J489" s="9">
        <v>6681.96</v>
      </c>
      <c r="K489" s="16">
        <v>1196</v>
      </c>
      <c r="L489" s="11">
        <f>E489</f>
        <v>299.70000000000005</v>
      </c>
      <c r="M489" s="31">
        <f>Tabela2[[#This Row],[R$TOTAL FÉRIAS FACIL ]]-Tabela2[[#This Row],[R$ PARCELADO]]</f>
        <v>896.3</v>
      </c>
      <c r="N489" s="6"/>
    </row>
    <row r="490" spans="1:14" x14ac:dyDescent="0.25">
      <c r="A490" s="6" t="s">
        <v>1088</v>
      </c>
      <c r="B490" s="6"/>
      <c r="C490" s="6"/>
      <c r="D490" s="6"/>
      <c r="E490" s="6"/>
      <c r="F490" s="7" t="s">
        <v>1184</v>
      </c>
      <c r="G490" s="6" t="s">
        <v>1089</v>
      </c>
      <c r="H490" s="7" t="s">
        <v>13</v>
      </c>
      <c r="I490" s="8" t="s">
        <v>445</v>
      </c>
      <c r="J490" s="9">
        <v>4187.9799999999996</v>
      </c>
      <c r="K490" s="16">
        <v>1196</v>
      </c>
      <c r="L490" s="6"/>
      <c r="M490" s="31"/>
      <c r="N490" s="11">
        <f>K490</f>
        <v>1196</v>
      </c>
    </row>
    <row r="491" spans="1:14" x14ac:dyDescent="0.25">
      <c r="A491" s="6" t="s">
        <v>1090</v>
      </c>
      <c r="B491" s="7">
        <f ca="1">$I$1-I491</f>
        <v>106</v>
      </c>
      <c r="C491" s="7"/>
      <c r="D491" s="7"/>
      <c r="E491" s="7"/>
      <c r="F491" s="7" t="s">
        <v>1184</v>
      </c>
      <c r="G491" s="6" t="s">
        <v>1091</v>
      </c>
      <c r="H491" s="7" t="s">
        <v>13</v>
      </c>
      <c r="I491" s="8" t="s">
        <v>96</v>
      </c>
      <c r="J491" s="9">
        <v>4188</v>
      </c>
      <c r="K491" s="16">
        <v>1196</v>
      </c>
      <c r="L491" s="6"/>
      <c r="M491" s="31"/>
      <c r="N491" s="11">
        <f t="shared" ref="N491:N492" si="169">K491</f>
        <v>1196</v>
      </c>
    </row>
    <row r="492" spans="1:14" x14ac:dyDescent="0.25">
      <c r="A492" s="6" t="s">
        <v>1092</v>
      </c>
      <c r="B492" s="7">
        <f ca="1">$I$1-I492</f>
        <v>96</v>
      </c>
      <c r="C492" s="7"/>
      <c r="D492" s="7"/>
      <c r="E492" s="7"/>
      <c r="F492" s="7" t="s">
        <v>1184</v>
      </c>
      <c r="G492" s="6" t="s">
        <v>1093</v>
      </c>
      <c r="H492" s="7" t="s">
        <v>13</v>
      </c>
      <c r="I492" s="8" t="s">
        <v>112</v>
      </c>
      <c r="J492" s="9">
        <v>4188</v>
      </c>
      <c r="K492" s="16">
        <v>1196</v>
      </c>
      <c r="L492" s="6"/>
      <c r="M492" s="31"/>
      <c r="N492" s="11">
        <f t="shared" si="169"/>
        <v>1196</v>
      </c>
    </row>
    <row r="493" spans="1:14" x14ac:dyDescent="0.25">
      <c r="A493" s="6" t="s">
        <v>1094</v>
      </c>
      <c r="B493" s="6"/>
      <c r="C493" s="6"/>
      <c r="D493" s="6"/>
      <c r="E493" s="6"/>
      <c r="F493" s="7" t="s">
        <v>1184</v>
      </c>
      <c r="G493" s="6" t="s">
        <v>1095</v>
      </c>
      <c r="H493" s="7" t="s">
        <v>13</v>
      </c>
      <c r="I493" s="8" t="s">
        <v>6</v>
      </c>
      <c r="J493" s="9">
        <v>7581.74</v>
      </c>
      <c r="K493" s="16">
        <v>1196</v>
      </c>
      <c r="L493" s="6"/>
      <c r="M493" s="31"/>
      <c r="N493" s="11">
        <f>K493</f>
        <v>1196</v>
      </c>
    </row>
    <row r="494" spans="1:14" x14ac:dyDescent="0.25">
      <c r="A494" s="6" t="s">
        <v>1096</v>
      </c>
      <c r="B494" s="7">
        <f ca="1">$I$1-I494</f>
        <v>102</v>
      </c>
      <c r="C494" s="7">
        <v>3</v>
      </c>
      <c r="D494" s="10">
        <v>99.9</v>
      </c>
      <c r="E494" s="10">
        <f t="shared" ref="E494:E496" si="170">D494*C494</f>
        <v>299.70000000000005</v>
      </c>
      <c r="F494" s="7" t="s">
        <v>1184</v>
      </c>
      <c r="G494" s="6" t="s">
        <v>1097</v>
      </c>
      <c r="H494" s="7" t="s">
        <v>1197</v>
      </c>
      <c r="I494" s="8" t="s">
        <v>191</v>
      </c>
      <c r="J494" s="9">
        <v>7581.96</v>
      </c>
      <c r="K494" s="16">
        <v>1196</v>
      </c>
      <c r="L494" s="11">
        <f t="shared" ref="L494:L496" si="171">E494</f>
        <v>299.70000000000005</v>
      </c>
      <c r="M494" s="31">
        <f>Tabela2[[#This Row],[R$TOTAL FÉRIAS FACIL ]]-Tabela2[[#This Row],[R$ PARCELADO]]</f>
        <v>896.3</v>
      </c>
      <c r="N494" s="6"/>
    </row>
    <row r="495" spans="1:14" x14ac:dyDescent="0.25">
      <c r="A495" s="6" t="s">
        <v>1098</v>
      </c>
      <c r="B495" s="7">
        <f ca="1">$I$1-I495</f>
        <v>103</v>
      </c>
      <c r="C495" s="7">
        <v>3</v>
      </c>
      <c r="D495" s="10">
        <v>99.9</v>
      </c>
      <c r="E495" s="10">
        <f t="shared" si="170"/>
        <v>299.70000000000005</v>
      </c>
      <c r="F495" s="7" t="s">
        <v>1184</v>
      </c>
      <c r="G495" s="6" t="s">
        <v>1099</v>
      </c>
      <c r="H495" s="7" t="s">
        <v>1197</v>
      </c>
      <c r="I495" s="8" t="s">
        <v>101</v>
      </c>
      <c r="J495" s="9">
        <v>6681.96</v>
      </c>
      <c r="K495" s="16">
        <v>1196</v>
      </c>
      <c r="L495" s="11">
        <f t="shared" si="171"/>
        <v>299.70000000000005</v>
      </c>
      <c r="M495" s="31">
        <f>Tabela2[[#This Row],[R$TOTAL FÉRIAS FACIL ]]-Tabela2[[#This Row],[R$ PARCELADO]]</f>
        <v>896.3</v>
      </c>
      <c r="N495" s="6"/>
    </row>
    <row r="496" spans="1:14" x14ac:dyDescent="0.25">
      <c r="A496" s="6" t="s">
        <v>1100</v>
      </c>
      <c r="B496" s="7">
        <f ca="1">$I$1-I496</f>
        <v>103</v>
      </c>
      <c r="C496" s="7">
        <v>3</v>
      </c>
      <c r="D496" s="10">
        <v>99.9</v>
      </c>
      <c r="E496" s="10">
        <f t="shared" si="170"/>
        <v>299.70000000000005</v>
      </c>
      <c r="F496" s="7" t="s">
        <v>1184</v>
      </c>
      <c r="G496" s="6" t="s">
        <v>1101</v>
      </c>
      <c r="H496" s="7" t="s">
        <v>1197</v>
      </c>
      <c r="I496" s="8" t="s">
        <v>101</v>
      </c>
      <c r="J496" s="9">
        <v>6681.96</v>
      </c>
      <c r="K496" s="16">
        <v>1196</v>
      </c>
      <c r="L496" s="11">
        <f t="shared" si="171"/>
        <v>299.70000000000005</v>
      </c>
      <c r="M496" s="31">
        <f>Tabela2[[#This Row],[R$TOTAL FÉRIAS FACIL ]]-Tabela2[[#This Row],[R$ PARCELADO]]</f>
        <v>896.3</v>
      </c>
      <c r="N496" s="6"/>
    </row>
    <row r="497" spans="1:14" x14ac:dyDescent="0.25">
      <c r="A497" s="6" t="s">
        <v>1102</v>
      </c>
      <c r="B497" s="7">
        <f ca="1">$I$1-I497</f>
        <v>103</v>
      </c>
      <c r="C497" s="7"/>
      <c r="D497" s="7"/>
      <c r="E497" s="7"/>
      <c r="F497" s="7" t="s">
        <v>1184</v>
      </c>
      <c r="G497" s="6" t="s">
        <v>1103</v>
      </c>
      <c r="H497" s="7" t="s">
        <v>13</v>
      </c>
      <c r="I497" s="8" t="s">
        <v>101</v>
      </c>
      <c r="J497" s="9">
        <v>4611.96</v>
      </c>
      <c r="K497" s="16">
        <v>1196</v>
      </c>
      <c r="L497" s="6"/>
      <c r="M497" s="31"/>
      <c r="N497" s="11">
        <f t="shared" ref="N497:N498" si="172">K497</f>
        <v>1196</v>
      </c>
    </row>
    <row r="498" spans="1:14" x14ac:dyDescent="0.25">
      <c r="A498" s="6" t="s">
        <v>1104</v>
      </c>
      <c r="B498" s="7">
        <f ca="1">$I$1-I498</f>
        <v>96</v>
      </c>
      <c r="C498" s="7"/>
      <c r="D498" s="7"/>
      <c r="E498" s="7"/>
      <c r="F498" s="7" t="s">
        <v>1184</v>
      </c>
      <c r="G498" s="6" t="s">
        <v>1105</v>
      </c>
      <c r="H498" s="7" t="s">
        <v>13</v>
      </c>
      <c r="I498" s="8" t="s">
        <v>112</v>
      </c>
      <c r="J498" s="9">
        <v>4611.96</v>
      </c>
      <c r="K498" s="16">
        <v>1196</v>
      </c>
      <c r="L498" s="6"/>
      <c r="M498" s="31"/>
      <c r="N498" s="11">
        <f t="shared" si="172"/>
        <v>1196</v>
      </c>
    </row>
    <row r="499" spans="1:14" x14ac:dyDescent="0.25">
      <c r="A499" s="6" t="s">
        <v>1106</v>
      </c>
      <c r="B499" s="6"/>
      <c r="C499" s="6"/>
      <c r="D499" s="6"/>
      <c r="E499" s="6"/>
      <c r="F499" s="7" t="s">
        <v>1184</v>
      </c>
      <c r="G499" s="6" t="s">
        <v>1107</v>
      </c>
      <c r="H499" s="7" t="s">
        <v>13</v>
      </c>
      <c r="I499" s="8" t="s">
        <v>445</v>
      </c>
      <c r="J499" s="9">
        <v>7581.74</v>
      </c>
      <c r="K499" s="16">
        <v>1196</v>
      </c>
      <c r="L499" s="6"/>
      <c r="M499" s="31"/>
      <c r="N499" s="11">
        <f>K499</f>
        <v>1196</v>
      </c>
    </row>
    <row r="500" spans="1:14" x14ac:dyDescent="0.25">
      <c r="A500" s="6" t="s">
        <v>1108</v>
      </c>
      <c r="B500" s="7">
        <f t="shared" ref="B500:B510" ca="1" si="173">$I$1-I500</f>
        <v>101</v>
      </c>
      <c r="C500" s="7"/>
      <c r="D500" s="7"/>
      <c r="E500" s="7"/>
      <c r="F500" s="7" t="s">
        <v>1184</v>
      </c>
      <c r="G500" s="6" t="s">
        <v>1109</v>
      </c>
      <c r="H500" s="7" t="s">
        <v>13</v>
      </c>
      <c r="I500" s="8" t="s">
        <v>445</v>
      </c>
      <c r="J500" s="9">
        <v>4188</v>
      </c>
      <c r="K500" s="16">
        <v>1196</v>
      </c>
      <c r="L500" s="6"/>
      <c r="M500" s="31"/>
      <c r="N500" s="11">
        <f t="shared" ref="N500:N505" si="174">K500</f>
        <v>1196</v>
      </c>
    </row>
    <row r="501" spans="1:14" x14ac:dyDescent="0.25">
      <c r="A501" s="6" t="s">
        <v>1110</v>
      </c>
      <c r="B501" s="7">
        <f t="shared" ca="1" si="173"/>
        <v>96</v>
      </c>
      <c r="C501" s="7"/>
      <c r="D501" s="7"/>
      <c r="E501" s="7"/>
      <c r="F501" s="7" t="s">
        <v>1184</v>
      </c>
      <c r="G501" s="6" t="s">
        <v>1111</v>
      </c>
      <c r="H501" s="7" t="s">
        <v>13</v>
      </c>
      <c r="I501" s="8" t="s">
        <v>112</v>
      </c>
      <c r="J501" s="9">
        <v>4188</v>
      </c>
      <c r="K501" s="16">
        <v>1196</v>
      </c>
      <c r="L501" s="6"/>
      <c r="M501" s="31"/>
      <c r="N501" s="11">
        <f t="shared" si="174"/>
        <v>1196</v>
      </c>
    </row>
    <row r="502" spans="1:14" x14ac:dyDescent="0.25">
      <c r="A502" s="6" t="s">
        <v>1112</v>
      </c>
      <c r="B502" s="7">
        <f t="shared" ca="1" si="173"/>
        <v>96</v>
      </c>
      <c r="C502" s="7"/>
      <c r="D502" s="7"/>
      <c r="E502" s="7"/>
      <c r="F502" s="7" t="s">
        <v>1184</v>
      </c>
      <c r="G502" s="6" t="s">
        <v>1113</v>
      </c>
      <c r="H502" s="7" t="s">
        <v>13</v>
      </c>
      <c r="I502" s="8" t="s">
        <v>112</v>
      </c>
      <c r="J502" s="9">
        <v>5388</v>
      </c>
      <c r="K502" s="16">
        <v>1196</v>
      </c>
      <c r="L502" s="6"/>
      <c r="M502" s="31"/>
      <c r="N502" s="11">
        <f t="shared" si="174"/>
        <v>1196</v>
      </c>
    </row>
    <row r="503" spans="1:14" x14ac:dyDescent="0.25">
      <c r="A503" s="6" t="s">
        <v>1114</v>
      </c>
      <c r="B503" s="7">
        <f t="shared" ca="1" si="173"/>
        <v>96</v>
      </c>
      <c r="C503" s="7"/>
      <c r="D503" s="7"/>
      <c r="E503" s="7"/>
      <c r="F503" s="7" t="s">
        <v>1184</v>
      </c>
      <c r="G503" s="6" t="s">
        <v>1115</v>
      </c>
      <c r="H503" s="7" t="s">
        <v>13</v>
      </c>
      <c r="I503" s="8" t="s">
        <v>112</v>
      </c>
      <c r="J503" s="9">
        <v>4611.96</v>
      </c>
      <c r="K503" s="16">
        <v>1196</v>
      </c>
      <c r="L503" s="6"/>
      <c r="M503" s="31"/>
      <c r="N503" s="11">
        <f t="shared" si="174"/>
        <v>1196</v>
      </c>
    </row>
    <row r="504" spans="1:14" x14ac:dyDescent="0.25">
      <c r="A504" s="6" t="s">
        <v>1116</v>
      </c>
      <c r="B504" s="7">
        <f t="shared" ca="1" si="173"/>
        <v>117</v>
      </c>
      <c r="C504" s="7"/>
      <c r="D504" s="7"/>
      <c r="E504" s="7"/>
      <c r="F504" s="7" t="s">
        <v>1184</v>
      </c>
      <c r="G504" s="6" t="s">
        <v>1117</v>
      </c>
      <c r="H504" s="7" t="s">
        <v>13</v>
      </c>
      <c r="I504" s="8" t="s">
        <v>15</v>
      </c>
      <c r="J504" s="9">
        <v>4611.96</v>
      </c>
      <c r="K504" s="16">
        <v>1196</v>
      </c>
      <c r="L504" s="6"/>
      <c r="M504" s="31"/>
      <c r="N504" s="11">
        <f t="shared" si="174"/>
        <v>1196</v>
      </c>
    </row>
    <row r="505" spans="1:14" x14ac:dyDescent="0.25">
      <c r="A505" s="6" t="s">
        <v>1118</v>
      </c>
      <c r="B505" s="7">
        <f t="shared" ca="1" si="173"/>
        <v>116</v>
      </c>
      <c r="C505" s="7"/>
      <c r="D505" s="7"/>
      <c r="E505" s="7"/>
      <c r="F505" s="7" t="s">
        <v>1184</v>
      </c>
      <c r="G505" s="6" t="s">
        <v>1119</v>
      </c>
      <c r="H505" s="7" t="s">
        <v>13</v>
      </c>
      <c r="I505" s="8" t="s">
        <v>226</v>
      </c>
      <c r="J505" s="9">
        <v>4611.96</v>
      </c>
      <c r="K505" s="16">
        <v>1196</v>
      </c>
      <c r="L505" s="6"/>
      <c r="M505" s="31"/>
      <c r="N505" s="11">
        <f t="shared" si="174"/>
        <v>1196</v>
      </c>
    </row>
    <row r="506" spans="1:14" x14ac:dyDescent="0.25">
      <c r="A506" s="6" t="s">
        <v>1120</v>
      </c>
      <c r="B506" s="7">
        <f t="shared" ca="1" si="173"/>
        <v>113</v>
      </c>
      <c r="C506" s="12">
        <v>4</v>
      </c>
      <c r="D506" s="10">
        <v>99.9</v>
      </c>
      <c r="E506" s="10">
        <f t="shared" ref="E506:E507" si="175">D506*C506</f>
        <v>399.6</v>
      </c>
      <c r="F506" s="7" t="s">
        <v>1184</v>
      </c>
      <c r="G506" s="6" t="s">
        <v>1121</v>
      </c>
      <c r="H506" s="7" t="s">
        <v>1197</v>
      </c>
      <c r="I506" s="8" t="s">
        <v>86</v>
      </c>
      <c r="J506" s="9">
        <v>6681.96</v>
      </c>
      <c r="K506" s="16">
        <v>1196</v>
      </c>
      <c r="L506" s="11">
        <f t="shared" ref="L506:L507" si="176">E506</f>
        <v>399.6</v>
      </c>
      <c r="M506" s="31">
        <f>Tabela2[[#This Row],[R$TOTAL FÉRIAS FACIL ]]-Tabela2[[#This Row],[R$ PARCELADO]]</f>
        <v>796.4</v>
      </c>
      <c r="N506" s="6"/>
    </row>
    <row r="507" spans="1:14" x14ac:dyDescent="0.25">
      <c r="A507" s="6" t="s">
        <v>1122</v>
      </c>
      <c r="B507" s="7">
        <f t="shared" ca="1" si="173"/>
        <v>100</v>
      </c>
      <c r="C507" s="7">
        <v>3</v>
      </c>
      <c r="D507" s="10">
        <v>99.9</v>
      </c>
      <c r="E507" s="10">
        <f t="shared" si="175"/>
        <v>299.70000000000005</v>
      </c>
      <c r="F507" s="7" t="s">
        <v>1184</v>
      </c>
      <c r="G507" s="6" t="s">
        <v>1123</v>
      </c>
      <c r="H507" s="7" t="s">
        <v>1197</v>
      </c>
      <c r="I507" s="8" t="s">
        <v>107</v>
      </c>
      <c r="J507" s="9">
        <v>7581.96</v>
      </c>
      <c r="K507" s="16">
        <v>1196</v>
      </c>
      <c r="L507" s="11">
        <f t="shared" si="176"/>
        <v>299.70000000000005</v>
      </c>
      <c r="M507" s="31">
        <f>Tabela2[[#This Row],[R$TOTAL FÉRIAS FACIL ]]-Tabela2[[#This Row],[R$ PARCELADO]]</f>
        <v>896.3</v>
      </c>
      <c r="N507" s="6"/>
    </row>
    <row r="508" spans="1:14" x14ac:dyDescent="0.25">
      <c r="A508" s="6" t="s">
        <v>1124</v>
      </c>
      <c r="B508" s="7">
        <f t="shared" ca="1" si="173"/>
        <v>94</v>
      </c>
      <c r="C508" s="7"/>
      <c r="D508" s="7"/>
      <c r="E508" s="7"/>
      <c r="F508" s="7" t="s">
        <v>1184</v>
      </c>
      <c r="G508" s="6" t="s">
        <v>1125</v>
      </c>
      <c r="H508" s="7" t="s">
        <v>13</v>
      </c>
      <c r="I508" s="8" t="s">
        <v>830</v>
      </c>
      <c r="J508" s="9">
        <v>4611.96</v>
      </c>
      <c r="K508" s="16">
        <v>1196</v>
      </c>
      <c r="L508" s="6"/>
      <c r="M508" s="31"/>
      <c r="N508" s="11">
        <f>K508</f>
        <v>1196</v>
      </c>
    </row>
    <row r="509" spans="1:14" x14ac:dyDescent="0.25">
      <c r="A509" s="6" t="s">
        <v>1126</v>
      </c>
      <c r="B509" s="7">
        <f t="shared" ca="1" si="173"/>
        <v>88</v>
      </c>
      <c r="C509" s="7">
        <v>3</v>
      </c>
      <c r="D509" s="10">
        <v>99.9</v>
      </c>
      <c r="E509" s="10">
        <f t="shared" ref="E509:E510" si="177">D509*C509</f>
        <v>299.70000000000005</v>
      </c>
      <c r="F509" s="7" t="s">
        <v>1184</v>
      </c>
      <c r="G509" s="6" t="s">
        <v>1127</v>
      </c>
      <c r="H509" s="7" t="s">
        <v>1197</v>
      </c>
      <c r="I509" s="8" t="s">
        <v>416</v>
      </c>
      <c r="J509" s="9">
        <v>6681.96</v>
      </c>
      <c r="K509" s="16">
        <v>1196</v>
      </c>
      <c r="L509" s="11">
        <f t="shared" ref="L509:L510" si="178">E509</f>
        <v>299.70000000000005</v>
      </c>
      <c r="M509" s="31">
        <f>Tabela2[[#This Row],[R$TOTAL FÉRIAS FACIL ]]-Tabela2[[#This Row],[R$ PARCELADO]]</f>
        <v>896.3</v>
      </c>
      <c r="N509" s="6"/>
    </row>
    <row r="510" spans="1:14" x14ac:dyDescent="0.25">
      <c r="A510" s="6" t="s">
        <v>1128</v>
      </c>
      <c r="B510" s="7">
        <f t="shared" ca="1" si="173"/>
        <v>98</v>
      </c>
      <c r="C510" s="7">
        <v>3</v>
      </c>
      <c r="D510" s="10">
        <v>99.9</v>
      </c>
      <c r="E510" s="10">
        <f t="shared" si="177"/>
        <v>299.70000000000005</v>
      </c>
      <c r="F510" s="7" t="s">
        <v>1184</v>
      </c>
      <c r="G510" s="6" t="s">
        <v>1129</v>
      </c>
      <c r="H510" s="7" t="s">
        <v>1197</v>
      </c>
      <c r="I510" s="13">
        <v>46022</v>
      </c>
      <c r="J510" s="9">
        <v>6310.74</v>
      </c>
      <c r="K510" s="16">
        <v>1196</v>
      </c>
      <c r="L510" s="11">
        <f t="shared" si="178"/>
        <v>299.70000000000005</v>
      </c>
      <c r="M510" s="31">
        <f>Tabela2[[#This Row],[R$TOTAL FÉRIAS FACIL ]]-Tabela2[[#This Row],[R$ PARCELADO]]</f>
        <v>896.3</v>
      </c>
      <c r="N510" s="6"/>
    </row>
    <row r="511" spans="1:14" x14ac:dyDescent="0.25">
      <c r="A511" s="6" t="s">
        <v>1130</v>
      </c>
      <c r="B511" s="6"/>
      <c r="C511" s="6"/>
      <c r="D511" s="6"/>
      <c r="E511" s="6"/>
      <c r="F511" s="7" t="s">
        <v>1184</v>
      </c>
      <c r="G511" s="6" t="s">
        <v>1131</v>
      </c>
      <c r="H511" s="7" t="s">
        <v>13</v>
      </c>
      <c r="I511" s="8" t="s">
        <v>18</v>
      </c>
      <c r="J511" s="9">
        <v>12381.9</v>
      </c>
      <c r="K511" s="16">
        <v>1196</v>
      </c>
      <c r="L511" s="6"/>
      <c r="M511" s="31"/>
      <c r="N511" s="11">
        <f>K511</f>
        <v>1196</v>
      </c>
    </row>
    <row r="512" spans="1:14" x14ac:dyDescent="0.25">
      <c r="A512" s="6" t="s">
        <v>1132</v>
      </c>
      <c r="B512" s="7">
        <f ca="1">$I$1-I512</f>
        <v>87</v>
      </c>
      <c r="C512" s="7">
        <v>3</v>
      </c>
      <c r="D512" s="10">
        <v>99.9</v>
      </c>
      <c r="E512" s="10">
        <f>D512*C512</f>
        <v>299.70000000000005</v>
      </c>
      <c r="F512" s="7" t="s">
        <v>1184</v>
      </c>
      <c r="G512" s="6" t="s">
        <v>1133</v>
      </c>
      <c r="H512" s="7" t="s">
        <v>1197</v>
      </c>
      <c r="I512" s="8" t="s">
        <v>187</v>
      </c>
      <c r="J512" s="9">
        <v>7581.96</v>
      </c>
      <c r="K512" s="16">
        <v>1196</v>
      </c>
      <c r="L512" s="11">
        <f>E512</f>
        <v>299.70000000000005</v>
      </c>
      <c r="M512" s="31">
        <f>Tabela2[[#This Row],[R$TOTAL FÉRIAS FACIL ]]-Tabela2[[#This Row],[R$ PARCELADO]]</f>
        <v>896.3</v>
      </c>
      <c r="N512" s="6"/>
    </row>
    <row r="513" spans="1:14" x14ac:dyDescent="0.25">
      <c r="A513" s="6" t="s">
        <v>1134</v>
      </c>
      <c r="B513" s="7">
        <f ca="1">$I$1-I513</f>
        <v>73</v>
      </c>
      <c r="C513" s="7"/>
      <c r="D513" s="7"/>
      <c r="E513" s="7"/>
      <c r="F513" s="7" t="s">
        <v>1184</v>
      </c>
      <c r="G513" s="6" t="s">
        <v>1135</v>
      </c>
      <c r="H513" s="7" t="s">
        <v>13</v>
      </c>
      <c r="I513" s="8" t="s">
        <v>324</v>
      </c>
      <c r="J513" s="9">
        <v>4842.54</v>
      </c>
      <c r="K513" s="16">
        <v>1196</v>
      </c>
      <c r="L513" s="6"/>
      <c r="M513" s="31"/>
      <c r="N513" s="11">
        <f t="shared" ref="N513:N514" si="179">K513</f>
        <v>1196</v>
      </c>
    </row>
    <row r="514" spans="1:14" x14ac:dyDescent="0.25">
      <c r="A514" s="6" t="s">
        <v>1136</v>
      </c>
      <c r="B514" s="7">
        <f ca="1">$I$1-I514</f>
        <v>73</v>
      </c>
      <c r="C514" s="7"/>
      <c r="D514" s="7"/>
      <c r="E514" s="7"/>
      <c r="F514" s="7" t="s">
        <v>1184</v>
      </c>
      <c r="G514" s="6" t="s">
        <v>1137</v>
      </c>
      <c r="H514" s="7" t="s">
        <v>13</v>
      </c>
      <c r="I514" s="8" t="s">
        <v>324</v>
      </c>
      <c r="J514" s="9">
        <v>4842.54</v>
      </c>
      <c r="K514" s="16">
        <v>1196</v>
      </c>
      <c r="L514" s="6"/>
      <c r="M514" s="31"/>
      <c r="N514" s="11">
        <f t="shared" si="179"/>
        <v>1196</v>
      </c>
    </row>
    <row r="515" spans="1:14" x14ac:dyDescent="0.25">
      <c r="A515" s="6" t="s">
        <v>1138</v>
      </c>
      <c r="B515" s="7">
        <f ca="1">$I$1-I515</f>
        <v>99</v>
      </c>
      <c r="C515" s="7">
        <v>3</v>
      </c>
      <c r="D515" s="10">
        <v>99.9</v>
      </c>
      <c r="E515" s="10">
        <f>D515*C515</f>
        <v>299.70000000000005</v>
      </c>
      <c r="F515" s="7" t="s">
        <v>1184</v>
      </c>
      <c r="G515" s="6" t="s">
        <v>1139</v>
      </c>
      <c r="H515" s="7" t="s">
        <v>1197</v>
      </c>
      <c r="I515" s="8" t="s">
        <v>375</v>
      </c>
      <c r="J515" s="9">
        <v>7581.96</v>
      </c>
      <c r="K515" s="16">
        <v>1196</v>
      </c>
      <c r="L515" s="11">
        <f>E515</f>
        <v>299.70000000000005</v>
      </c>
      <c r="M515" s="31">
        <f>Tabela2[[#This Row],[R$TOTAL FÉRIAS FACIL ]]-Tabela2[[#This Row],[R$ PARCELADO]]</f>
        <v>896.3</v>
      </c>
      <c r="N515" s="6"/>
    </row>
    <row r="516" spans="1:14" x14ac:dyDescent="0.25">
      <c r="A516" s="6" t="s">
        <v>1140</v>
      </c>
      <c r="B516" s="7">
        <f ca="1">$I$1-I516</f>
        <v>96</v>
      </c>
      <c r="C516" s="7"/>
      <c r="D516" s="7"/>
      <c r="E516" s="7"/>
      <c r="F516" s="7" t="s">
        <v>1184</v>
      </c>
      <c r="G516" s="6" t="s">
        <v>1141</v>
      </c>
      <c r="H516" s="7" t="s">
        <v>13</v>
      </c>
      <c r="I516" s="8" t="s">
        <v>112</v>
      </c>
      <c r="J516" s="9">
        <v>4611.96</v>
      </c>
      <c r="K516" s="16">
        <v>1196</v>
      </c>
      <c r="L516" s="6"/>
      <c r="M516" s="31"/>
      <c r="N516" s="11">
        <f t="shared" ref="N516:N517" si="180">K516</f>
        <v>1196</v>
      </c>
    </row>
    <row r="517" spans="1:14" x14ac:dyDescent="0.25">
      <c r="A517" s="6" t="s">
        <v>1142</v>
      </c>
      <c r="B517" s="7">
        <v>47</v>
      </c>
      <c r="C517" s="7"/>
      <c r="D517" s="7"/>
      <c r="E517" s="7"/>
      <c r="F517" s="7" t="s">
        <v>1184</v>
      </c>
      <c r="G517" s="6" t="s">
        <v>1143</v>
      </c>
      <c r="H517" s="7" t="s">
        <v>13</v>
      </c>
      <c r="I517" s="8" t="s">
        <v>1144</v>
      </c>
      <c r="J517" s="9">
        <v>4188</v>
      </c>
      <c r="K517" s="16">
        <v>1196</v>
      </c>
      <c r="L517" s="6"/>
      <c r="M517" s="31"/>
      <c r="N517" s="11">
        <f t="shared" si="180"/>
        <v>1196</v>
      </c>
    </row>
    <row r="518" spans="1:14" x14ac:dyDescent="0.25">
      <c r="A518" s="6" t="s">
        <v>1145</v>
      </c>
      <c r="B518" s="7">
        <f ca="1">$I$1-I518</f>
        <v>92</v>
      </c>
      <c r="C518" s="7">
        <v>3</v>
      </c>
      <c r="D518" s="10">
        <v>99.9</v>
      </c>
      <c r="E518" s="10">
        <f t="shared" ref="E518:E520" si="181">D518*C518</f>
        <v>299.70000000000005</v>
      </c>
      <c r="F518" s="7" t="s">
        <v>1184</v>
      </c>
      <c r="G518" s="6" t="s">
        <v>1146</v>
      </c>
      <c r="H518" s="7" t="s">
        <v>1197</v>
      </c>
      <c r="I518" s="8" t="s">
        <v>21</v>
      </c>
      <c r="J518" s="9">
        <v>6681.96</v>
      </c>
      <c r="K518" s="16">
        <v>1196</v>
      </c>
      <c r="L518" s="11">
        <f t="shared" ref="L518:L520" si="182">E518</f>
        <v>299.70000000000005</v>
      </c>
      <c r="M518" s="31">
        <f>Tabela2[[#This Row],[R$TOTAL FÉRIAS FACIL ]]-Tabela2[[#This Row],[R$ PARCELADO]]</f>
        <v>896.3</v>
      </c>
      <c r="N518" s="6"/>
    </row>
    <row r="519" spans="1:14" x14ac:dyDescent="0.25">
      <c r="A519" s="6" t="s">
        <v>1147</v>
      </c>
      <c r="B519" s="7">
        <f ca="1">$I$1-I519</f>
        <v>95</v>
      </c>
      <c r="C519" s="7">
        <v>3</v>
      </c>
      <c r="D519" s="10">
        <v>99.9</v>
      </c>
      <c r="E519" s="10">
        <f t="shared" si="181"/>
        <v>299.70000000000005</v>
      </c>
      <c r="F519" s="7" t="s">
        <v>1184</v>
      </c>
      <c r="G519" s="6" t="s">
        <v>1148</v>
      </c>
      <c r="H519" s="7" t="s">
        <v>1197</v>
      </c>
      <c r="I519" s="8" t="s">
        <v>280</v>
      </c>
      <c r="J519" s="9">
        <v>6681.96</v>
      </c>
      <c r="K519" s="16">
        <v>1196</v>
      </c>
      <c r="L519" s="11">
        <f t="shared" si="182"/>
        <v>299.70000000000005</v>
      </c>
      <c r="M519" s="31">
        <f>Tabela2[[#This Row],[R$TOTAL FÉRIAS FACIL ]]-Tabela2[[#This Row],[R$ PARCELADO]]</f>
        <v>896.3</v>
      </c>
      <c r="N519" s="6"/>
    </row>
    <row r="520" spans="1:14" x14ac:dyDescent="0.25">
      <c r="A520" s="6" t="s">
        <v>1149</v>
      </c>
      <c r="B520" s="7">
        <f ca="1">$I$1-I520</f>
        <v>91</v>
      </c>
      <c r="C520" s="7">
        <v>3</v>
      </c>
      <c r="D520" s="10">
        <v>99.9</v>
      </c>
      <c r="E520" s="10">
        <f t="shared" si="181"/>
        <v>299.70000000000005</v>
      </c>
      <c r="F520" s="7" t="s">
        <v>1184</v>
      </c>
      <c r="G520" s="6" t="s">
        <v>1150</v>
      </c>
      <c r="H520" s="7" t="s">
        <v>1197</v>
      </c>
      <c r="I520" s="8" t="s">
        <v>125</v>
      </c>
      <c r="J520" s="9">
        <v>6681.96</v>
      </c>
      <c r="K520" s="16">
        <v>1196</v>
      </c>
      <c r="L520" s="11">
        <f t="shared" si="182"/>
        <v>299.70000000000005</v>
      </c>
      <c r="M520" s="31">
        <f>Tabela2[[#This Row],[R$TOTAL FÉRIAS FACIL ]]-Tabela2[[#This Row],[R$ PARCELADO]]</f>
        <v>896.3</v>
      </c>
      <c r="N520" s="6"/>
    </row>
    <row r="521" spans="1:14" x14ac:dyDescent="0.25">
      <c r="A521" s="6" t="s">
        <v>1151</v>
      </c>
      <c r="B521" s="7">
        <f ca="1">$I$1-I521</f>
        <v>91</v>
      </c>
      <c r="C521" s="7"/>
      <c r="D521" s="7"/>
      <c r="E521" s="7"/>
      <c r="F521" s="7" t="s">
        <v>1184</v>
      </c>
      <c r="G521" s="6" t="s">
        <v>1152</v>
      </c>
      <c r="H521" s="7" t="s">
        <v>13</v>
      </c>
      <c r="I521" s="8" t="s">
        <v>125</v>
      </c>
      <c r="J521" s="9">
        <v>4188</v>
      </c>
      <c r="K521" s="16">
        <v>1196</v>
      </c>
      <c r="L521" s="6"/>
      <c r="M521" s="31"/>
      <c r="N521" s="11">
        <f t="shared" ref="N521:N522" si="183">K521</f>
        <v>1196</v>
      </c>
    </row>
    <row r="522" spans="1:14" x14ac:dyDescent="0.25">
      <c r="A522" s="6" t="s">
        <v>1153</v>
      </c>
      <c r="B522" s="7">
        <f ca="1">$I$1-I522</f>
        <v>91</v>
      </c>
      <c r="C522" s="7"/>
      <c r="D522" s="7"/>
      <c r="E522" s="7"/>
      <c r="F522" s="7" t="s">
        <v>1184</v>
      </c>
      <c r="G522" s="6" t="s">
        <v>1154</v>
      </c>
      <c r="H522" s="7" t="s">
        <v>13</v>
      </c>
      <c r="I522" s="8" t="s">
        <v>125</v>
      </c>
      <c r="J522" s="9">
        <v>7242.96</v>
      </c>
      <c r="K522" s="16">
        <v>1196</v>
      </c>
      <c r="L522" s="6"/>
      <c r="M522" s="31"/>
      <c r="N522" s="11">
        <f t="shared" si="183"/>
        <v>1196</v>
      </c>
    </row>
    <row r="523" spans="1:14" x14ac:dyDescent="0.25">
      <c r="A523" s="6" t="s">
        <v>1155</v>
      </c>
      <c r="B523" s="6"/>
      <c r="C523" s="6"/>
      <c r="D523" s="6"/>
      <c r="E523" s="6"/>
      <c r="F523" s="7" t="s">
        <v>1184</v>
      </c>
      <c r="G523" s="6" t="s">
        <v>1156</v>
      </c>
      <c r="H523" s="7" t="s">
        <v>13</v>
      </c>
      <c r="I523" s="8" t="s">
        <v>830</v>
      </c>
      <c r="J523" s="9">
        <v>4188</v>
      </c>
      <c r="K523" s="16">
        <v>1196</v>
      </c>
      <c r="L523" s="6"/>
      <c r="M523" s="31"/>
      <c r="N523" s="11">
        <f>K523</f>
        <v>1196</v>
      </c>
    </row>
    <row r="524" spans="1:14" x14ac:dyDescent="0.25">
      <c r="A524" s="6" t="s">
        <v>1157</v>
      </c>
      <c r="B524" s="7">
        <f ca="1">$I$1-I524</f>
        <v>92</v>
      </c>
      <c r="C524" s="7"/>
      <c r="D524" s="7"/>
      <c r="E524" s="7"/>
      <c r="F524" s="7" t="s">
        <v>1184</v>
      </c>
      <c r="G524" s="6" t="s">
        <v>1158</v>
      </c>
      <c r="H524" s="7" t="s">
        <v>13</v>
      </c>
      <c r="I524" s="8" t="s">
        <v>21</v>
      </c>
      <c r="J524" s="9">
        <v>4611.96</v>
      </c>
      <c r="K524" s="16">
        <v>1196</v>
      </c>
      <c r="L524" s="6"/>
      <c r="M524" s="31"/>
      <c r="N524" s="11">
        <f>K524</f>
        <v>1196</v>
      </c>
    </row>
    <row r="525" spans="1:14" x14ac:dyDescent="0.25">
      <c r="A525" s="6" t="s">
        <v>1159</v>
      </c>
      <c r="B525" s="7">
        <f ca="1">$I$1-I525</f>
        <v>92</v>
      </c>
      <c r="C525" s="7">
        <v>3</v>
      </c>
      <c r="D525" s="10">
        <v>99.9</v>
      </c>
      <c r="E525" s="10">
        <f>D525*C525</f>
        <v>299.70000000000005</v>
      </c>
      <c r="F525" s="7" t="s">
        <v>1184</v>
      </c>
      <c r="G525" s="6" t="s">
        <v>1160</v>
      </c>
      <c r="H525" s="7" t="s">
        <v>1197</v>
      </c>
      <c r="I525" s="8" t="s">
        <v>21</v>
      </c>
      <c r="J525" s="9">
        <v>6681.96</v>
      </c>
      <c r="K525" s="16">
        <v>1196</v>
      </c>
      <c r="L525" s="11">
        <f>E525</f>
        <v>299.70000000000005</v>
      </c>
      <c r="M525" s="31">
        <f>Tabela2[[#This Row],[R$TOTAL FÉRIAS FACIL ]]-Tabela2[[#This Row],[R$ PARCELADO]]</f>
        <v>896.3</v>
      </c>
      <c r="N525" s="6"/>
    </row>
    <row r="526" spans="1:14" x14ac:dyDescent="0.25">
      <c r="A526" s="6" t="s">
        <v>1161</v>
      </c>
      <c r="B526" s="7">
        <f ca="1">$I$1-I526</f>
        <v>87</v>
      </c>
      <c r="C526" s="7"/>
      <c r="D526" s="7"/>
      <c r="E526" s="7"/>
      <c r="F526" s="7" t="s">
        <v>1184</v>
      </c>
      <c r="G526" s="6" t="s">
        <v>1162</v>
      </c>
      <c r="H526" s="7" t="s">
        <v>13</v>
      </c>
      <c r="I526" s="8" t="s">
        <v>187</v>
      </c>
      <c r="J526" s="9">
        <v>4500</v>
      </c>
      <c r="K526" s="16">
        <v>1196</v>
      </c>
      <c r="L526" s="6"/>
      <c r="M526" s="31"/>
      <c r="N526" s="11">
        <f t="shared" ref="N526:N527" si="184">K526</f>
        <v>1196</v>
      </c>
    </row>
    <row r="527" spans="1:14" x14ac:dyDescent="0.25">
      <c r="A527" s="6" t="s">
        <v>1163</v>
      </c>
      <c r="B527" s="7">
        <f ca="1">$I$1-I527</f>
        <v>91</v>
      </c>
      <c r="C527" s="7"/>
      <c r="D527" s="7"/>
      <c r="E527" s="7"/>
      <c r="F527" s="7" t="s">
        <v>1184</v>
      </c>
      <c r="G527" s="6" t="s">
        <v>1164</v>
      </c>
      <c r="H527" s="7" t="s">
        <v>13</v>
      </c>
      <c r="I527" s="8" t="s">
        <v>125</v>
      </c>
      <c r="J527" s="9">
        <v>4842.54</v>
      </c>
      <c r="K527" s="16">
        <v>1196</v>
      </c>
      <c r="L527" s="6"/>
      <c r="M527" s="31"/>
      <c r="N527" s="11">
        <f t="shared" si="184"/>
        <v>1196</v>
      </c>
    </row>
    <row r="528" spans="1:14" x14ac:dyDescent="0.25">
      <c r="A528" s="6" t="s">
        <v>1165</v>
      </c>
      <c r="B528" s="6"/>
      <c r="C528" s="6"/>
      <c r="D528" s="6"/>
      <c r="E528" s="6"/>
      <c r="F528" s="7" t="s">
        <v>1184</v>
      </c>
      <c r="G528" s="6" t="s">
        <v>1166</v>
      </c>
      <c r="H528" s="7" t="s">
        <v>13</v>
      </c>
      <c r="I528" s="8" t="s">
        <v>416</v>
      </c>
      <c r="J528" s="9">
        <v>6681.96</v>
      </c>
      <c r="K528" s="16">
        <v>1196</v>
      </c>
      <c r="L528" s="6"/>
      <c r="M528" s="31"/>
      <c r="N528" s="11">
        <f>K528</f>
        <v>1196</v>
      </c>
    </row>
    <row r="529" spans="1:14" x14ac:dyDescent="0.25">
      <c r="A529" s="6" t="s">
        <v>1167</v>
      </c>
      <c r="B529" s="7">
        <f ca="1">$I$1-I529</f>
        <v>86</v>
      </c>
      <c r="C529" s="7"/>
      <c r="D529" s="7"/>
      <c r="E529" s="7"/>
      <c r="F529" s="7" t="s">
        <v>1184</v>
      </c>
      <c r="G529" s="6" t="s">
        <v>1168</v>
      </c>
      <c r="H529" s="7" t="s">
        <v>13</v>
      </c>
      <c r="I529" s="8" t="s">
        <v>246</v>
      </c>
      <c r="J529" s="9">
        <v>4188</v>
      </c>
      <c r="K529" s="16">
        <v>1196</v>
      </c>
      <c r="L529" s="6"/>
      <c r="M529" s="31"/>
      <c r="N529" s="11">
        <f>K529</f>
        <v>1196</v>
      </c>
    </row>
    <row r="530" spans="1:14" x14ac:dyDescent="0.25">
      <c r="A530" s="6" t="s">
        <v>1169</v>
      </c>
      <c r="B530" s="7">
        <f ca="1">$I$1-I530</f>
        <v>76</v>
      </c>
      <c r="C530" s="7">
        <v>3</v>
      </c>
      <c r="D530" s="10">
        <v>99.9</v>
      </c>
      <c r="E530" s="10">
        <f>D530*C530</f>
        <v>299.70000000000005</v>
      </c>
      <c r="F530" s="7" t="s">
        <v>1184</v>
      </c>
      <c r="G530" s="6" t="s">
        <v>1170</v>
      </c>
      <c r="H530" s="7" t="s">
        <v>1197</v>
      </c>
      <c r="I530" s="8" t="s">
        <v>484</v>
      </c>
      <c r="J530" s="9">
        <v>6681.96</v>
      </c>
      <c r="K530" s="16">
        <v>1196</v>
      </c>
      <c r="L530" s="11">
        <f>E530</f>
        <v>299.70000000000005</v>
      </c>
      <c r="M530" s="31">
        <f>Tabela2[[#This Row],[R$TOTAL FÉRIAS FACIL ]]-Tabela2[[#This Row],[R$ PARCELADO]]</f>
        <v>896.3</v>
      </c>
      <c r="N530" s="6"/>
    </row>
    <row r="531" spans="1:14" x14ac:dyDescent="0.25">
      <c r="A531" s="6" t="s">
        <v>1171</v>
      </c>
      <c r="B531" s="6"/>
      <c r="C531" s="6"/>
      <c r="D531" s="6"/>
      <c r="E531" s="6"/>
      <c r="F531" s="7" t="s">
        <v>1184</v>
      </c>
      <c r="G531" s="6" t="s">
        <v>1172</v>
      </c>
      <c r="H531" s="7" t="s">
        <v>13</v>
      </c>
      <c r="I531" s="8" t="s">
        <v>304</v>
      </c>
      <c r="J531" s="9">
        <v>6681.74</v>
      </c>
      <c r="K531" s="16">
        <v>1196</v>
      </c>
      <c r="L531" s="6"/>
      <c r="M531" s="31"/>
      <c r="N531" s="11">
        <f>K531</f>
        <v>1196</v>
      </c>
    </row>
    <row r="532" spans="1:14" x14ac:dyDescent="0.25">
      <c r="A532" s="6" t="s">
        <v>1173</v>
      </c>
      <c r="B532" s="7">
        <f ca="1">$I$1-I532</f>
        <v>79</v>
      </c>
      <c r="C532" s="7">
        <v>3</v>
      </c>
      <c r="D532" s="10">
        <v>99.9</v>
      </c>
      <c r="E532" s="10">
        <f>D532*C532</f>
        <v>299.70000000000005</v>
      </c>
      <c r="F532" s="7" t="s">
        <v>1184</v>
      </c>
      <c r="G532" s="6" t="s">
        <v>1174</v>
      </c>
      <c r="H532" s="7" t="s">
        <v>1197</v>
      </c>
      <c r="I532" s="8" t="s">
        <v>237</v>
      </c>
      <c r="J532" s="9">
        <v>7581.96</v>
      </c>
      <c r="K532" s="16">
        <v>1196</v>
      </c>
      <c r="L532" s="11">
        <f>E532</f>
        <v>299.70000000000005</v>
      </c>
      <c r="M532" s="31">
        <f>Tabela2[[#This Row],[R$TOTAL FÉRIAS FACIL ]]-Tabela2[[#This Row],[R$ PARCELADO]]</f>
        <v>896.3</v>
      </c>
      <c r="N532" s="6"/>
    </row>
    <row r="533" spans="1:14" x14ac:dyDescent="0.25">
      <c r="A533" s="6" t="s">
        <v>1175</v>
      </c>
      <c r="B533" s="6"/>
      <c r="C533" s="6"/>
      <c r="D533" s="6"/>
      <c r="E533" s="6"/>
      <c r="F533" s="7" t="s">
        <v>1184</v>
      </c>
      <c r="G533" s="6" t="s">
        <v>1176</v>
      </c>
      <c r="H533" s="7" t="s">
        <v>13</v>
      </c>
      <c r="I533" s="8" t="s">
        <v>128</v>
      </c>
      <c r="J533" s="9">
        <v>5211.92</v>
      </c>
      <c r="K533" s="16">
        <v>1196</v>
      </c>
      <c r="L533" s="6"/>
      <c r="M533" s="31"/>
      <c r="N533" s="11">
        <f>K533</f>
        <v>1196</v>
      </c>
    </row>
    <row r="534" spans="1:14" x14ac:dyDescent="0.25">
      <c r="A534" s="6" t="s">
        <v>1177</v>
      </c>
      <c r="B534" s="7">
        <f ca="1">$I$1-I534</f>
        <v>87</v>
      </c>
      <c r="C534" s="7">
        <v>3</v>
      </c>
      <c r="D534" s="10">
        <v>99.9</v>
      </c>
      <c r="E534" s="10">
        <f t="shared" ref="E534:E535" si="185">D534*C534</f>
        <v>299.70000000000005</v>
      </c>
      <c r="F534" s="7" t="s">
        <v>1184</v>
      </c>
      <c r="G534" s="6" t="s">
        <v>1178</v>
      </c>
      <c r="H534" s="7" t="s">
        <v>1197</v>
      </c>
      <c r="I534" s="8" t="s">
        <v>187</v>
      </c>
      <c r="J534" s="9">
        <v>7581.96</v>
      </c>
      <c r="K534" s="16">
        <v>1196</v>
      </c>
      <c r="L534" s="11">
        <f t="shared" ref="L534:L535" si="186">E534</f>
        <v>299.70000000000005</v>
      </c>
      <c r="M534" s="31">
        <f>Tabela2[[#This Row],[R$TOTAL FÉRIAS FACIL ]]-Tabela2[[#This Row],[R$ PARCELADO]]</f>
        <v>896.3</v>
      </c>
      <c r="N534" s="6"/>
    </row>
    <row r="535" spans="1:14" x14ac:dyDescent="0.25">
      <c r="A535" s="6" t="s">
        <v>1179</v>
      </c>
      <c r="B535" s="7">
        <f ca="1">$I$1-I535</f>
        <v>78</v>
      </c>
      <c r="C535" s="7">
        <v>3</v>
      </c>
      <c r="D535" s="10">
        <v>99.9</v>
      </c>
      <c r="E535" s="10">
        <f t="shared" si="185"/>
        <v>299.70000000000005</v>
      </c>
      <c r="F535" s="7" t="s">
        <v>1184</v>
      </c>
      <c r="G535" s="6" t="s">
        <v>1180</v>
      </c>
      <c r="H535" s="7" t="s">
        <v>1197</v>
      </c>
      <c r="I535" s="8" t="s">
        <v>139</v>
      </c>
      <c r="J535" s="9">
        <v>9982.02</v>
      </c>
      <c r="K535" s="16">
        <v>1196</v>
      </c>
      <c r="L535" s="11">
        <f t="shared" si="186"/>
        <v>299.70000000000005</v>
      </c>
      <c r="M535" s="31">
        <f>Tabela2[[#This Row],[R$TOTAL FÉRIAS FACIL ]]-Tabela2[[#This Row],[R$ PARCELADO]]</f>
        <v>896.3</v>
      </c>
      <c r="N535" s="6"/>
    </row>
    <row r="536" spans="1:14" x14ac:dyDescent="0.25">
      <c r="A536" s="6" t="s">
        <v>1181</v>
      </c>
      <c r="B536" s="6"/>
      <c r="C536" s="6"/>
      <c r="D536" s="6"/>
      <c r="E536" s="6"/>
      <c r="F536" s="7" t="s">
        <v>1184</v>
      </c>
      <c r="G536" s="6" t="s">
        <v>1182</v>
      </c>
      <c r="H536" s="7" t="s">
        <v>13</v>
      </c>
      <c r="I536" s="8" t="s">
        <v>324</v>
      </c>
      <c r="J536" s="9">
        <v>6681.96</v>
      </c>
      <c r="K536" s="16">
        <v>1196</v>
      </c>
      <c r="L536" s="6"/>
      <c r="M536" s="31"/>
      <c r="N536" s="11">
        <f>K536</f>
        <v>1196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Fechamento</vt:lpstr>
      <vt:lpstr>Análise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Tuler</dc:creator>
  <cp:lastModifiedBy>NATHANY SOUZA</cp:lastModifiedBy>
  <dcterms:created xsi:type="dcterms:W3CDTF">2026-02-27T11:36:10Z</dcterms:created>
  <dcterms:modified xsi:type="dcterms:W3CDTF">2026-04-08T18:31:56Z</dcterms:modified>
</cp:coreProperties>
</file>